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ilonsindia-my.sharepoint.com/personal/anadi_kulkarni_nilonsindia_onmicrosoft_com/Documents/Documents/Me/"/>
    </mc:Choice>
  </mc:AlternateContent>
  <xr:revisionPtr revIDLastSave="3" documentId="11_90E538FAE8290850F6C9DBE0D652DB52D99FA54A" xr6:coauthVersionLast="47" xr6:coauthVersionMax="47" xr10:uidLastSave="{66FC8B5E-DFC8-4B11-9B79-D1EF9A0A5037}"/>
  <bookViews>
    <workbookView xWindow="-110" yWindow="-110" windowWidth="19420" windowHeight="10300" activeTab="1" xr2:uid="{00000000-000D-0000-FFFF-FFFF00000000}"/>
  </bookViews>
  <sheets>
    <sheet name="New Words" sheetId="1" r:id="rId1"/>
    <sheet name="Quant 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7" i="1" l="1"/>
  <c r="B29" i="2"/>
  <c r="D736" i="1"/>
  <c r="C736" i="1"/>
  <c r="B736" i="1"/>
  <c r="D735" i="1"/>
  <c r="C735" i="1"/>
  <c r="B735" i="1"/>
  <c r="D734" i="1"/>
  <c r="C734" i="1"/>
  <c r="B734" i="1"/>
  <c r="D733" i="1"/>
  <c r="C733" i="1"/>
  <c r="B733" i="1"/>
  <c r="D732" i="1"/>
  <c r="C732" i="1"/>
  <c r="B732" i="1"/>
  <c r="D731" i="1"/>
  <c r="C731" i="1"/>
  <c r="B731" i="1"/>
  <c r="D730" i="1"/>
  <c r="C730" i="1"/>
  <c r="B730" i="1"/>
  <c r="D729" i="1"/>
  <c r="C729" i="1"/>
  <c r="B729" i="1"/>
  <c r="D728" i="1"/>
  <c r="C728" i="1"/>
  <c r="B728" i="1"/>
  <c r="D727" i="1"/>
  <c r="C727" i="1"/>
  <c r="B727" i="1"/>
  <c r="D726" i="1"/>
  <c r="C726" i="1"/>
  <c r="B726" i="1"/>
  <c r="D725" i="1"/>
  <c r="C725" i="1"/>
  <c r="B725" i="1"/>
  <c r="D724" i="1"/>
  <c r="C724" i="1"/>
  <c r="B724" i="1"/>
  <c r="D723" i="1"/>
  <c r="C723" i="1"/>
  <c r="B723" i="1"/>
  <c r="D722" i="1"/>
  <c r="C722" i="1"/>
  <c r="B722" i="1"/>
  <c r="D721" i="1"/>
  <c r="C721" i="1"/>
  <c r="B721" i="1"/>
  <c r="D720" i="1"/>
  <c r="C720" i="1"/>
  <c r="B720" i="1"/>
  <c r="D719" i="1"/>
  <c r="C719" i="1"/>
  <c r="B719" i="1"/>
  <c r="D718" i="1"/>
  <c r="C718" i="1"/>
  <c r="B718" i="1"/>
  <c r="D717" i="1"/>
  <c r="C717" i="1"/>
  <c r="B717" i="1"/>
  <c r="D716" i="1"/>
  <c r="C716" i="1"/>
  <c r="B716" i="1"/>
  <c r="D715" i="1"/>
  <c r="C715" i="1"/>
  <c r="B715" i="1"/>
  <c r="D714" i="1"/>
  <c r="C714" i="1"/>
  <c r="B714" i="1"/>
  <c r="D713" i="1"/>
  <c r="C713" i="1"/>
  <c r="B713" i="1"/>
  <c r="D712" i="1"/>
  <c r="C712" i="1"/>
  <c r="B712" i="1"/>
  <c r="D711" i="1"/>
  <c r="C711" i="1"/>
  <c r="B711" i="1"/>
  <c r="D710" i="1"/>
  <c r="C710" i="1"/>
  <c r="B710" i="1"/>
  <c r="D709" i="1"/>
  <c r="C709" i="1"/>
  <c r="B709" i="1"/>
  <c r="D708" i="1"/>
  <c r="C708" i="1"/>
  <c r="B708" i="1"/>
  <c r="D707" i="1"/>
  <c r="C707" i="1"/>
  <c r="B707" i="1"/>
  <c r="D706" i="1"/>
  <c r="C706" i="1"/>
  <c r="B706" i="1"/>
  <c r="D705" i="1"/>
  <c r="C705" i="1"/>
  <c r="B705" i="1"/>
  <c r="D704" i="1"/>
  <c r="C704" i="1"/>
  <c r="B704" i="1"/>
  <c r="D703" i="1"/>
  <c r="C703" i="1"/>
  <c r="B703" i="1"/>
  <c r="D702" i="1"/>
  <c r="C702" i="1"/>
  <c r="B702" i="1"/>
  <c r="D701" i="1"/>
  <c r="C701" i="1"/>
  <c r="B701" i="1"/>
  <c r="D700" i="1"/>
  <c r="C700" i="1"/>
  <c r="B700" i="1"/>
  <c r="D699" i="1"/>
  <c r="C699" i="1"/>
  <c r="B699" i="1"/>
  <c r="D698" i="1"/>
  <c r="C698" i="1"/>
  <c r="B698" i="1"/>
  <c r="D697" i="1"/>
  <c r="C697" i="1"/>
  <c r="B697" i="1"/>
  <c r="D696" i="1"/>
  <c r="C696" i="1"/>
  <c r="B696" i="1"/>
  <c r="D695" i="1"/>
  <c r="C695" i="1"/>
  <c r="B695" i="1"/>
  <c r="D694" i="1"/>
  <c r="C694" i="1"/>
  <c r="B694" i="1"/>
  <c r="D693" i="1"/>
  <c r="C693" i="1"/>
  <c r="B693" i="1"/>
  <c r="D692" i="1"/>
  <c r="C692" i="1"/>
  <c r="B692" i="1"/>
  <c r="D691" i="1"/>
  <c r="C691" i="1"/>
  <c r="B691" i="1"/>
  <c r="D690" i="1"/>
  <c r="C690" i="1"/>
  <c r="B690" i="1"/>
  <c r="D689" i="1"/>
  <c r="C689" i="1"/>
  <c r="B689" i="1"/>
  <c r="D688" i="1"/>
  <c r="C688" i="1"/>
  <c r="B688" i="1"/>
  <c r="D687" i="1"/>
  <c r="C687" i="1"/>
  <c r="B687" i="1"/>
  <c r="D686" i="1"/>
  <c r="C686" i="1"/>
  <c r="B686" i="1"/>
  <c r="D685" i="1"/>
  <c r="C685" i="1"/>
  <c r="B685" i="1"/>
  <c r="D684" i="1"/>
  <c r="C684" i="1"/>
  <c r="B684" i="1"/>
  <c r="D683" i="1"/>
  <c r="C683" i="1"/>
  <c r="B683" i="1"/>
  <c r="D682" i="1"/>
  <c r="C682" i="1"/>
  <c r="B682" i="1"/>
  <c r="D681" i="1"/>
  <c r="C681" i="1"/>
  <c r="B681" i="1"/>
  <c r="D680" i="1"/>
  <c r="C680" i="1"/>
  <c r="B680" i="1"/>
  <c r="D679" i="1"/>
  <c r="C679" i="1"/>
  <c r="B679" i="1"/>
  <c r="D678" i="1"/>
  <c r="C678" i="1"/>
  <c r="B678" i="1"/>
  <c r="D677" i="1"/>
  <c r="C677" i="1"/>
  <c r="B677" i="1"/>
  <c r="D676" i="1"/>
  <c r="C676" i="1"/>
  <c r="B676" i="1"/>
  <c r="D675" i="1"/>
  <c r="C675" i="1"/>
  <c r="B675" i="1"/>
  <c r="D674" i="1"/>
  <c r="C674" i="1"/>
  <c r="B674" i="1"/>
  <c r="D673" i="1"/>
  <c r="C673" i="1"/>
  <c r="B673" i="1"/>
  <c r="D672" i="1"/>
  <c r="C672" i="1"/>
  <c r="B672" i="1"/>
  <c r="D671" i="1"/>
  <c r="C671" i="1"/>
  <c r="B671" i="1"/>
  <c r="D670" i="1"/>
  <c r="C670" i="1"/>
  <c r="B670" i="1"/>
  <c r="D669" i="1"/>
  <c r="C669" i="1"/>
  <c r="B669" i="1"/>
  <c r="D668" i="1"/>
  <c r="C668" i="1"/>
  <c r="B668" i="1"/>
  <c r="D667" i="1"/>
  <c r="C667" i="1"/>
  <c r="B667" i="1"/>
  <c r="D666" i="1"/>
  <c r="C666" i="1"/>
  <c r="B666" i="1"/>
  <c r="D665" i="1"/>
  <c r="C665" i="1"/>
  <c r="B665" i="1"/>
  <c r="D664" i="1"/>
  <c r="C664" i="1"/>
  <c r="B664" i="1"/>
  <c r="D663" i="1"/>
  <c r="C663" i="1"/>
  <c r="B663" i="1"/>
  <c r="D662" i="1"/>
  <c r="C662" i="1"/>
  <c r="B662" i="1"/>
  <c r="D661" i="1"/>
  <c r="C661" i="1"/>
  <c r="B661" i="1"/>
  <c r="D660" i="1"/>
  <c r="C660" i="1"/>
  <c r="B660" i="1"/>
  <c r="D659" i="1"/>
  <c r="C659" i="1"/>
  <c r="B659" i="1"/>
  <c r="D658" i="1"/>
  <c r="C658" i="1"/>
  <c r="B658" i="1"/>
  <c r="D657" i="1"/>
  <c r="C657" i="1"/>
  <c r="B657" i="1"/>
  <c r="D656" i="1"/>
  <c r="C656" i="1"/>
  <c r="B656" i="1"/>
  <c r="D655" i="1"/>
  <c r="C655" i="1"/>
  <c r="B655" i="1"/>
  <c r="D654" i="1"/>
  <c r="C654" i="1"/>
  <c r="B654" i="1"/>
  <c r="D653" i="1"/>
  <c r="C653" i="1"/>
  <c r="B653" i="1"/>
  <c r="D652" i="1"/>
  <c r="C652" i="1"/>
  <c r="B652" i="1"/>
  <c r="D651" i="1"/>
  <c r="C651" i="1"/>
  <c r="B651" i="1"/>
  <c r="D650" i="1"/>
  <c r="C650" i="1"/>
  <c r="B650" i="1"/>
  <c r="D649" i="1"/>
  <c r="C649" i="1"/>
  <c r="B649" i="1"/>
  <c r="D648" i="1"/>
  <c r="C648" i="1"/>
  <c r="B648" i="1"/>
  <c r="D647" i="1"/>
  <c r="C647" i="1"/>
  <c r="B647" i="1"/>
  <c r="D646" i="1"/>
  <c r="C646" i="1"/>
  <c r="B646" i="1"/>
  <c r="D645" i="1"/>
  <c r="C645" i="1"/>
  <c r="B645" i="1"/>
  <c r="D644" i="1"/>
  <c r="C644" i="1"/>
  <c r="B644" i="1"/>
  <c r="D643" i="1"/>
  <c r="C643" i="1"/>
  <c r="B643" i="1"/>
  <c r="D642" i="1"/>
  <c r="C642" i="1"/>
  <c r="B642" i="1"/>
  <c r="D641" i="1"/>
  <c r="C641" i="1"/>
  <c r="B641" i="1"/>
  <c r="D640" i="1"/>
  <c r="C640" i="1"/>
  <c r="B640" i="1"/>
  <c r="D639" i="1"/>
  <c r="C639" i="1"/>
  <c r="B639" i="1"/>
  <c r="D638" i="1"/>
  <c r="C638" i="1"/>
  <c r="B638" i="1"/>
  <c r="D637" i="1"/>
  <c r="C637" i="1"/>
  <c r="B637" i="1"/>
  <c r="D636" i="1"/>
  <c r="C636" i="1"/>
  <c r="B636" i="1"/>
  <c r="D635" i="1"/>
  <c r="C635" i="1"/>
  <c r="B635" i="1"/>
  <c r="D634" i="1"/>
  <c r="C634" i="1"/>
  <c r="B634" i="1"/>
  <c r="D633" i="1"/>
  <c r="C633" i="1"/>
  <c r="B633" i="1"/>
  <c r="D632" i="1"/>
  <c r="C632" i="1"/>
  <c r="B632" i="1"/>
  <c r="D631" i="1"/>
  <c r="C631" i="1"/>
  <c r="B631" i="1"/>
  <c r="D630" i="1"/>
  <c r="C630" i="1"/>
  <c r="B630" i="1"/>
  <c r="D629" i="1"/>
  <c r="C629" i="1"/>
  <c r="B629" i="1"/>
  <c r="D628" i="1"/>
  <c r="C628" i="1"/>
  <c r="B628" i="1"/>
  <c r="D627" i="1"/>
  <c r="C627" i="1"/>
  <c r="B627" i="1"/>
  <c r="D626" i="1"/>
  <c r="C626" i="1"/>
  <c r="B626" i="1"/>
  <c r="D625" i="1"/>
  <c r="C625" i="1"/>
  <c r="B625" i="1"/>
  <c r="D624" i="1"/>
  <c r="C624" i="1"/>
  <c r="B624" i="1"/>
  <c r="D623" i="1"/>
  <c r="C623" i="1"/>
  <c r="B623" i="1"/>
  <c r="D622" i="1"/>
  <c r="C622" i="1"/>
  <c r="B622" i="1"/>
  <c r="D621" i="1"/>
  <c r="C621" i="1"/>
  <c r="B621" i="1"/>
  <c r="D620" i="1"/>
  <c r="C620" i="1"/>
  <c r="B620" i="1"/>
  <c r="D619" i="1"/>
  <c r="C619" i="1"/>
  <c r="B619" i="1"/>
  <c r="D618" i="1"/>
  <c r="C618" i="1"/>
  <c r="B618" i="1"/>
  <c r="D617" i="1"/>
  <c r="C617" i="1"/>
  <c r="B617" i="1"/>
  <c r="D616" i="1"/>
  <c r="C616" i="1"/>
  <c r="B616" i="1"/>
  <c r="D615" i="1"/>
  <c r="C615" i="1"/>
  <c r="B615" i="1"/>
  <c r="D614" i="1"/>
  <c r="C614" i="1"/>
  <c r="B614" i="1"/>
  <c r="D613" i="1"/>
  <c r="C613" i="1"/>
  <c r="B613" i="1"/>
  <c r="D612" i="1"/>
  <c r="C612" i="1"/>
  <c r="B612" i="1"/>
  <c r="D611" i="1"/>
  <c r="C611" i="1"/>
  <c r="B611" i="1"/>
  <c r="D610" i="1"/>
  <c r="C610" i="1"/>
  <c r="B610" i="1"/>
  <c r="D609" i="1"/>
  <c r="C609" i="1"/>
  <c r="B609" i="1"/>
  <c r="D608" i="1"/>
  <c r="C608" i="1"/>
  <c r="B608" i="1"/>
  <c r="D607" i="1"/>
  <c r="C607" i="1"/>
  <c r="B607" i="1"/>
  <c r="D606" i="1"/>
  <c r="C606" i="1"/>
  <c r="B606" i="1"/>
  <c r="D605" i="1"/>
  <c r="C605" i="1"/>
  <c r="B605" i="1"/>
  <c r="D604" i="1"/>
  <c r="C604" i="1"/>
  <c r="B604" i="1"/>
  <c r="D603" i="1"/>
  <c r="C603" i="1"/>
  <c r="B603" i="1"/>
  <c r="D602" i="1"/>
  <c r="C602" i="1"/>
  <c r="B602" i="1"/>
  <c r="D601" i="1"/>
  <c r="C601" i="1"/>
  <c r="B601" i="1"/>
  <c r="D600" i="1"/>
  <c r="C600" i="1"/>
  <c r="B600" i="1"/>
  <c r="D599" i="1"/>
  <c r="C599" i="1"/>
  <c r="B599" i="1"/>
  <c r="D598" i="1"/>
  <c r="C598" i="1"/>
  <c r="B598" i="1"/>
  <c r="D597" i="1"/>
  <c r="C597" i="1"/>
  <c r="B597" i="1"/>
  <c r="D596" i="1"/>
  <c r="C596" i="1"/>
  <c r="B596" i="1"/>
  <c r="D595" i="1"/>
  <c r="C595" i="1"/>
  <c r="B595" i="1"/>
  <c r="D594" i="1"/>
  <c r="C594" i="1"/>
  <c r="B594" i="1"/>
  <c r="D593" i="1"/>
  <c r="C593" i="1"/>
  <c r="B593" i="1"/>
  <c r="D592" i="1"/>
  <c r="C592" i="1"/>
  <c r="B592" i="1"/>
  <c r="D591" i="1"/>
  <c r="C591" i="1"/>
  <c r="B591" i="1"/>
  <c r="D590" i="1"/>
  <c r="C590" i="1"/>
  <c r="B590" i="1"/>
  <c r="D589" i="1"/>
  <c r="C589" i="1"/>
  <c r="B589" i="1"/>
  <c r="D588" i="1"/>
  <c r="C588" i="1"/>
  <c r="B588" i="1"/>
  <c r="D587" i="1"/>
  <c r="C587" i="1"/>
  <c r="B587" i="1"/>
  <c r="D586" i="1"/>
  <c r="C586" i="1"/>
  <c r="B586" i="1"/>
  <c r="D585" i="1"/>
  <c r="C585" i="1"/>
  <c r="B585" i="1"/>
  <c r="D584" i="1"/>
  <c r="C584" i="1"/>
  <c r="B584" i="1"/>
  <c r="D583" i="1"/>
  <c r="C583" i="1"/>
  <c r="B583" i="1"/>
  <c r="D582" i="1"/>
  <c r="C582" i="1"/>
  <c r="B582" i="1"/>
  <c r="D581" i="1"/>
  <c r="C581" i="1"/>
  <c r="B581" i="1"/>
  <c r="D580" i="1"/>
  <c r="C580" i="1"/>
  <c r="B580" i="1"/>
  <c r="D579" i="1"/>
  <c r="C579" i="1"/>
  <c r="B579" i="1"/>
  <c r="D578" i="1"/>
  <c r="C578" i="1"/>
  <c r="B578" i="1"/>
  <c r="D577" i="1"/>
  <c r="C577" i="1"/>
  <c r="B577" i="1"/>
  <c r="D576" i="1"/>
  <c r="C576" i="1"/>
  <c r="B576" i="1"/>
  <c r="D575" i="1"/>
  <c r="C575" i="1"/>
  <c r="B575" i="1"/>
  <c r="D574" i="1"/>
  <c r="C574" i="1"/>
  <c r="B574" i="1"/>
  <c r="D573" i="1"/>
  <c r="C573" i="1"/>
  <c r="B573" i="1"/>
  <c r="D572" i="1"/>
  <c r="C572" i="1"/>
  <c r="B572" i="1"/>
  <c r="D571" i="1"/>
  <c r="C571" i="1"/>
  <c r="B571" i="1"/>
  <c r="D570" i="1"/>
  <c r="C570" i="1"/>
  <c r="B570" i="1"/>
  <c r="D569" i="1"/>
  <c r="C569" i="1"/>
  <c r="B569" i="1"/>
  <c r="D568" i="1"/>
  <c r="C568" i="1"/>
  <c r="B568" i="1"/>
  <c r="D567" i="1"/>
  <c r="C567" i="1"/>
  <c r="B567" i="1"/>
  <c r="D566" i="1"/>
  <c r="C566" i="1"/>
  <c r="B566" i="1"/>
  <c r="D565" i="1"/>
  <c r="C565" i="1"/>
  <c r="B565" i="1"/>
  <c r="D564" i="1"/>
  <c r="C564" i="1"/>
  <c r="B564" i="1"/>
  <c r="D563" i="1"/>
  <c r="C563" i="1"/>
  <c r="B563" i="1"/>
  <c r="D562" i="1"/>
  <c r="C562" i="1"/>
  <c r="B562" i="1"/>
  <c r="D561" i="1"/>
  <c r="C561" i="1"/>
  <c r="B561" i="1"/>
  <c r="D560" i="1"/>
  <c r="C560" i="1"/>
  <c r="B560" i="1"/>
  <c r="D559" i="1"/>
  <c r="C559" i="1"/>
  <c r="B559" i="1"/>
  <c r="D558" i="1"/>
  <c r="C558" i="1"/>
  <c r="B558" i="1"/>
  <c r="D557" i="1"/>
  <c r="C557" i="1"/>
  <c r="B557" i="1"/>
  <c r="D556" i="1"/>
  <c r="C556" i="1"/>
  <c r="B556" i="1"/>
  <c r="D555" i="1"/>
  <c r="C555" i="1"/>
  <c r="B555" i="1"/>
  <c r="D554" i="1"/>
  <c r="C554" i="1"/>
  <c r="B554" i="1"/>
  <c r="D553" i="1"/>
  <c r="C553" i="1"/>
  <c r="B553" i="1"/>
  <c r="D552" i="1"/>
  <c r="C552" i="1"/>
  <c r="B552" i="1"/>
  <c r="D551" i="1"/>
  <c r="C551" i="1"/>
  <c r="B551" i="1"/>
  <c r="D550" i="1"/>
  <c r="C550" i="1"/>
  <c r="B550" i="1"/>
  <c r="D549" i="1"/>
  <c r="C549" i="1"/>
  <c r="B549" i="1"/>
  <c r="D548" i="1"/>
  <c r="C548" i="1"/>
  <c r="B548" i="1"/>
  <c r="D547" i="1"/>
  <c r="C547" i="1"/>
  <c r="B547" i="1"/>
  <c r="D546" i="1"/>
  <c r="C546" i="1"/>
  <c r="B546" i="1"/>
  <c r="D545" i="1"/>
  <c r="C545" i="1"/>
  <c r="B545" i="1"/>
  <c r="D544" i="1"/>
  <c r="C544" i="1"/>
  <c r="B544" i="1"/>
  <c r="D543" i="1"/>
  <c r="C543" i="1"/>
  <c r="B543" i="1"/>
  <c r="D542" i="1"/>
  <c r="C542" i="1"/>
  <c r="B542" i="1"/>
  <c r="D541" i="1"/>
  <c r="C541" i="1"/>
  <c r="B541" i="1"/>
  <c r="D540" i="1"/>
  <c r="C540" i="1"/>
  <c r="B540" i="1"/>
  <c r="D539" i="1"/>
  <c r="C539" i="1"/>
  <c r="B539" i="1"/>
  <c r="D538" i="1"/>
  <c r="C538" i="1"/>
  <c r="B538" i="1"/>
  <c r="D537" i="1"/>
  <c r="C537" i="1"/>
  <c r="B537" i="1"/>
  <c r="D536" i="1"/>
  <c r="C536" i="1"/>
  <c r="B536" i="1"/>
  <c r="D535" i="1"/>
  <c r="C535" i="1"/>
  <c r="B535" i="1"/>
  <c r="D534" i="1"/>
  <c r="C534" i="1"/>
  <c r="B534" i="1"/>
  <c r="D533" i="1"/>
  <c r="C533" i="1"/>
  <c r="B533" i="1"/>
  <c r="D532" i="1"/>
  <c r="C532" i="1"/>
  <c r="B532" i="1"/>
  <c r="D531" i="1"/>
  <c r="C531" i="1"/>
  <c r="B531" i="1"/>
  <c r="D530" i="1"/>
  <c r="C530" i="1"/>
  <c r="B530" i="1"/>
  <c r="D529" i="1"/>
  <c r="C529" i="1"/>
  <c r="B529" i="1"/>
  <c r="D528" i="1"/>
  <c r="C528" i="1"/>
  <c r="B528" i="1"/>
  <c r="D527" i="1"/>
  <c r="C527" i="1"/>
  <c r="B527" i="1"/>
  <c r="D526" i="1"/>
  <c r="C526" i="1"/>
  <c r="B526" i="1"/>
  <c r="D525" i="1"/>
  <c r="C525" i="1"/>
  <c r="B525" i="1"/>
  <c r="D524" i="1"/>
  <c r="C524" i="1"/>
  <c r="B524" i="1"/>
  <c r="D523" i="1"/>
  <c r="C523" i="1"/>
  <c r="B523" i="1"/>
  <c r="D522" i="1"/>
  <c r="C522" i="1"/>
  <c r="B522" i="1"/>
  <c r="D521" i="1"/>
  <c r="C521" i="1"/>
  <c r="B521" i="1"/>
  <c r="D520" i="1"/>
  <c r="C520" i="1"/>
  <c r="B520" i="1"/>
  <c r="D519" i="1"/>
  <c r="C519" i="1"/>
  <c r="B519" i="1"/>
  <c r="D518" i="1"/>
  <c r="C518" i="1"/>
  <c r="B518" i="1"/>
  <c r="D517" i="1"/>
  <c r="C517" i="1"/>
  <c r="B517" i="1"/>
  <c r="D516" i="1"/>
  <c r="C516" i="1"/>
  <c r="B516" i="1"/>
  <c r="D515" i="1"/>
  <c r="C515" i="1"/>
  <c r="B515" i="1"/>
  <c r="D514" i="1"/>
  <c r="C514" i="1"/>
  <c r="B514" i="1"/>
  <c r="D513" i="1"/>
  <c r="C513" i="1"/>
  <c r="B513" i="1"/>
  <c r="D512" i="1"/>
  <c r="C512" i="1"/>
  <c r="B512" i="1"/>
  <c r="D511" i="1"/>
  <c r="C511" i="1"/>
  <c r="B511" i="1"/>
  <c r="D510" i="1"/>
  <c r="C510" i="1"/>
  <c r="B510" i="1"/>
  <c r="D509" i="1"/>
  <c r="C509" i="1"/>
  <c r="B509" i="1"/>
  <c r="D508" i="1"/>
  <c r="C508" i="1"/>
  <c r="B508" i="1"/>
  <c r="D507" i="1"/>
  <c r="C507" i="1"/>
  <c r="B507" i="1"/>
  <c r="D506" i="1"/>
  <c r="C506" i="1"/>
  <c r="B506" i="1"/>
  <c r="D505" i="1"/>
  <c r="C505" i="1"/>
  <c r="B505" i="1"/>
  <c r="D504" i="1"/>
  <c r="C504" i="1"/>
  <c r="B504" i="1"/>
  <c r="D503" i="1"/>
  <c r="C503" i="1"/>
  <c r="B503" i="1"/>
  <c r="D502" i="1"/>
  <c r="C502" i="1"/>
  <c r="B502" i="1"/>
  <c r="D501" i="1"/>
  <c r="C501" i="1"/>
  <c r="B501" i="1"/>
  <c r="D500" i="1"/>
  <c r="C500" i="1"/>
  <c r="B500" i="1"/>
  <c r="D499" i="1"/>
  <c r="C499" i="1"/>
  <c r="B499" i="1"/>
  <c r="D498" i="1"/>
  <c r="C498" i="1"/>
  <c r="B498" i="1"/>
  <c r="D497" i="1"/>
  <c r="C497" i="1"/>
  <c r="B497" i="1"/>
  <c r="D496" i="1"/>
  <c r="C496" i="1"/>
  <c r="B496" i="1"/>
  <c r="D495" i="1"/>
  <c r="C495" i="1"/>
  <c r="B495" i="1"/>
  <c r="D494" i="1"/>
  <c r="C494" i="1"/>
  <c r="B494" i="1"/>
  <c r="D493" i="1"/>
  <c r="C493" i="1"/>
  <c r="B493" i="1"/>
  <c r="D492" i="1"/>
  <c r="C492" i="1"/>
  <c r="B492" i="1"/>
  <c r="D491" i="1"/>
  <c r="C491" i="1"/>
  <c r="B491" i="1"/>
  <c r="D490" i="1"/>
  <c r="C490" i="1"/>
  <c r="B490" i="1"/>
  <c r="D489" i="1"/>
  <c r="C489" i="1"/>
  <c r="B489" i="1"/>
  <c r="D488" i="1"/>
  <c r="C488" i="1"/>
  <c r="B488" i="1"/>
  <c r="D487" i="1"/>
  <c r="C487" i="1"/>
  <c r="B487" i="1"/>
  <c r="D486" i="1"/>
  <c r="C486" i="1"/>
  <c r="B486" i="1"/>
  <c r="D485" i="1"/>
  <c r="C485" i="1"/>
  <c r="B485" i="1"/>
  <c r="D484" i="1"/>
  <c r="C484" i="1"/>
  <c r="B484" i="1"/>
  <c r="D483" i="1"/>
  <c r="C483" i="1"/>
  <c r="B483" i="1"/>
  <c r="D482" i="1"/>
  <c r="C482" i="1"/>
  <c r="B482" i="1"/>
  <c r="D481" i="1"/>
  <c r="C481" i="1"/>
  <c r="B481" i="1"/>
  <c r="D480" i="1"/>
  <c r="C480" i="1"/>
  <c r="B480" i="1"/>
  <c r="D479" i="1"/>
  <c r="C479" i="1"/>
  <c r="B479" i="1"/>
  <c r="D478" i="1"/>
  <c r="C478" i="1"/>
  <c r="B478" i="1"/>
  <c r="D477" i="1"/>
  <c r="C477" i="1"/>
  <c r="B477" i="1"/>
  <c r="D476" i="1"/>
  <c r="C476" i="1"/>
  <c r="B476" i="1"/>
  <c r="D475" i="1"/>
  <c r="C475" i="1"/>
  <c r="B475" i="1"/>
  <c r="D474" i="1"/>
  <c r="C474" i="1"/>
  <c r="B474" i="1"/>
  <c r="D473" i="1"/>
  <c r="C473" i="1"/>
  <c r="B473" i="1"/>
  <c r="D472" i="1"/>
  <c r="C472" i="1"/>
  <c r="B472" i="1"/>
  <c r="D471" i="1"/>
  <c r="C471" i="1"/>
  <c r="B471" i="1"/>
  <c r="D470" i="1"/>
  <c r="C470" i="1"/>
  <c r="B470" i="1"/>
  <c r="D469" i="1"/>
  <c r="C469" i="1"/>
  <c r="B469" i="1"/>
  <c r="D468" i="1"/>
  <c r="C468" i="1"/>
  <c r="B468" i="1"/>
  <c r="D467" i="1"/>
  <c r="C467" i="1"/>
  <c r="B467" i="1"/>
  <c r="D466" i="1"/>
  <c r="C466" i="1"/>
  <c r="B466" i="1"/>
  <c r="D465" i="1"/>
  <c r="C465" i="1"/>
  <c r="B465" i="1"/>
  <c r="D464" i="1"/>
  <c r="C464" i="1"/>
  <c r="B464" i="1"/>
  <c r="D463" i="1"/>
  <c r="C463" i="1"/>
  <c r="B463" i="1"/>
  <c r="D462" i="1"/>
  <c r="C462" i="1"/>
  <c r="B462" i="1"/>
  <c r="D461" i="1"/>
  <c r="C461" i="1"/>
  <c r="B461" i="1"/>
  <c r="D460" i="1"/>
  <c r="C460" i="1"/>
  <c r="B460" i="1"/>
  <c r="D459" i="1"/>
  <c r="C459" i="1"/>
  <c r="B459" i="1"/>
  <c r="D458" i="1"/>
  <c r="C458" i="1"/>
  <c r="B458" i="1"/>
  <c r="D457" i="1"/>
  <c r="C457" i="1"/>
  <c r="B457" i="1"/>
  <c r="D456" i="1"/>
  <c r="C456" i="1"/>
  <c r="B456" i="1"/>
  <c r="D455" i="1"/>
  <c r="C455" i="1"/>
  <c r="B455" i="1"/>
  <c r="D454" i="1"/>
  <c r="C454" i="1"/>
  <c r="B454" i="1"/>
  <c r="D453" i="1"/>
  <c r="C453" i="1"/>
  <c r="B453" i="1"/>
  <c r="D452" i="1"/>
  <c r="C452" i="1"/>
  <c r="B452" i="1"/>
  <c r="D451" i="1"/>
  <c r="C451" i="1"/>
  <c r="B451" i="1"/>
  <c r="D450" i="1"/>
  <c r="C450" i="1"/>
  <c r="B450" i="1"/>
  <c r="D449" i="1"/>
  <c r="C449" i="1"/>
  <c r="B449" i="1"/>
  <c r="D448" i="1"/>
  <c r="C448" i="1"/>
  <c r="B448" i="1"/>
  <c r="D447" i="1"/>
  <c r="C447" i="1"/>
  <c r="B447" i="1"/>
  <c r="D446" i="1"/>
  <c r="C446" i="1"/>
  <c r="B446" i="1"/>
  <c r="D445" i="1"/>
  <c r="C445" i="1"/>
  <c r="B445" i="1"/>
  <c r="D444" i="1"/>
  <c r="C444" i="1"/>
  <c r="B444" i="1"/>
  <c r="D443" i="1"/>
  <c r="C443" i="1"/>
  <c r="B443" i="1"/>
  <c r="D442" i="1"/>
  <c r="C442" i="1"/>
  <c r="B442" i="1"/>
  <c r="D441" i="1"/>
  <c r="C441" i="1"/>
  <c r="B441" i="1"/>
  <c r="D440" i="1"/>
  <c r="C440" i="1"/>
  <c r="B440" i="1"/>
  <c r="D439" i="1"/>
  <c r="C439" i="1"/>
  <c r="B439" i="1"/>
  <c r="D438" i="1"/>
  <c r="C438" i="1"/>
  <c r="B438" i="1"/>
  <c r="D437" i="1"/>
  <c r="C437" i="1"/>
  <c r="B437" i="1"/>
  <c r="D436" i="1"/>
  <c r="C436" i="1"/>
  <c r="B436" i="1"/>
  <c r="D435" i="1"/>
  <c r="C435" i="1"/>
  <c r="B435" i="1"/>
  <c r="D434" i="1"/>
  <c r="C434" i="1"/>
  <c r="B434" i="1"/>
  <c r="D433" i="1"/>
  <c r="C433" i="1"/>
  <c r="B433" i="1"/>
  <c r="D432" i="1"/>
  <c r="C432" i="1"/>
  <c r="B432" i="1"/>
  <c r="D431" i="1"/>
  <c r="C431" i="1"/>
  <c r="B431" i="1"/>
  <c r="D430" i="1"/>
  <c r="C430" i="1"/>
  <c r="B430" i="1"/>
  <c r="D429" i="1"/>
  <c r="C429" i="1"/>
  <c r="B429" i="1"/>
  <c r="D428" i="1"/>
  <c r="C428" i="1"/>
  <c r="B428" i="1"/>
  <c r="D427" i="1"/>
  <c r="C427" i="1"/>
  <c r="B427" i="1"/>
  <c r="D426" i="1"/>
  <c r="C426" i="1"/>
  <c r="B426" i="1"/>
  <c r="D425" i="1"/>
  <c r="C425" i="1"/>
  <c r="B425" i="1"/>
  <c r="D424" i="1"/>
  <c r="C424" i="1"/>
  <c r="B424" i="1"/>
  <c r="D423" i="1"/>
  <c r="C423" i="1"/>
  <c r="B423" i="1"/>
  <c r="D422" i="1"/>
  <c r="C422" i="1"/>
  <c r="B422" i="1"/>
  <c r="D421" i="1"/>
  <c r="C421" i="1"/>
  <c r="B421" i="1"/>
  <c r="D420" i="1"/>
  <c r="C420" i="1"/>
  <c r="B420" i="1"/>
  <c r="D419" i="1"/>
  <c r="C419" i="1"/>
  <c r="B419" i="1"/>
  <c r="D418" i="1"/>
  <c r="C418" i="1"/>
  <c r="B418" i="1"/>
  <c r="D417" i="1"/>
  <c r="C417" i="1"/>
  <c r="B417" i="1"/>
  <c r="D416" i="1"/>
  <c r="C416" i="1"/>
  <c r="B416" i="1"/>
  <c r="D415" i="1"/>
  <c r="C415" i="1"/>
  <c r="B415" i="1"/>
  <c r="D414" i="1"/>
  <c r="C414" i="1"/>
  <c r="B414" i="1"/>
  <c r="D413" i="1"/>
  <c r="C413" i="1"/>
  <c r="B413" i="1"/>
  <c r="D412" i="1"/>
  <c r="C412" i="1"/>
  <c r="B412" i="1"/>
  <c r="D411" i="1"/>
  <c r="C411" i="1"/>
  <c r="B411" i="1"/>
  <c r="D410" i="1"/>
  <c r="C410" i="1"/>
  <c r="B410" i="1"/>
  <c r="D409" i="1"/>
  <c r="C409" i="1"/>
  <c r="B409" i="1"/>
  <c r="D408" i="1"/>
  <c r="C408" i="1"/>
  <c r="B408" i="1"/>
  <c r="D407" i="1"/>
  <c r="C407" i="1"/>
  <c r="B407" i="1"/>
  <c r="D406" i="1"/>
  <c r="C406" i="1"/>
  <c r="B406" i="1"/>
  <c r="D405" i="1"/>
  <c r="C405" i="1"/>
  <c r="B405" i="1"/>
  <c r="D404" i="1"/>
  <c r="C404" i="1"/>
  <c r="B404" i="1"/>
  <c r="D403" i="1"/>
  <c r="C403" i="1"/>
  <c r="B403" i="1"/>
  <c r="D402" i="1"/>
  <c r="C402" i="1"/>
  <c r="B402" i="1"/>
  <c r="D401" i="1"/>
  <c r="C401" i="1"/>
  <c r="B401" i="1"/>
  <c r="D400" i="1"/>
  <c r="C400" i="1"/>
  <c r="B400" i="1"/>
  <c r="D399" i="1"/>
  <c r="C399" i="1"/>
  <c r="B399" i="1"/>
  <c r="D398" i="1"/>
  <c r="C398" i="1"/>
  <c r="B398" i="1"/>
  <c r="D397" i="1"/>
  <c r="C397" i="1"/>
  <c r="B397" i="1"/>
  <c r="D396" i="1"/>
  <c r="C396" i="1"/>
  <c r="B396" i="1"/>
  <c r="D395" i="1"/>
  <c r="C395" i="1"/>
  <c r="B395" i="1"/>
  <c r="D394" i="1"/>
  <c r="C394" i="1"/>
  <c r="B394" i="1"/>
  <c r="D393" i="1"/>
  <c r="C393" i="1"/>
  <c r="B393" i="1"/>
  <c r="D392" i="1"/>
  <c r="C392" i="1"/>
  <c r="B392" i="1"/>
  <c r="D391" i="1"/>
  <c r="C391" i="1"/>
  <c r="B391" i="1"/>
  <c r="D390" i="1"/>
  <c r="C390" i="1"/>
  <c r="B390" i="1"/>
  <c r="D389" i="1"/>
  <c r="C389" i="1"/>
  <c r="B389" i="1"/>
  <c r="D388" i="1"/>
  <c r="C388" i="1"/>
  <c r="B388" i="1"/>
  <c r="D387" i="1"/>
  <c r="C387" i="1"/>
  <c r="B387" i="1"/>
  <c r="D386" i="1"/>
  <c r="C386" i="1"/>
  <c r="B386" i="1"/>
  <c r="D385" i="1"/>
  <c r="C385" i="1"/>
  <c r="B385" i="1"/>
  <c r="D384" i="1"/>
  <c r="C384" i="1"/>
  <c r="B384" i="1"/>
  <c r="D383" i="1"/>
  <c r="C383" i="1"/>
  <c r="B383" i="1"/>
  <c r="D382" i="1"/>
  <c r="C382" i="1"/>
  <c r="B382" i="1"/>
  <c r="D381" i="1"/>
  <c r="C381" i="1"/>
  <c r="B381" i="1"/>
  <c r="D380" i="1"/>
  <c r="C380" i="1"/>
  <c r="B380" i="1"/>
  <c r="D379" i="1"/>
  <c r="C379" i="1"/>
  <c r="B379" i="1"/>
  <c r="D378" i="1"/>
  <c r="C378" i="1"/>
  <c r="B378" i="1"/>
  <c r="D377" i="1"/>
  <c r="C377" i="1"/>
  <c r="B377" i="1"/>
  <c r="D376" i="1"/>
  <c r="C376" i="1"/>
  <c r="B376" i="1"/>
  <c r="D375" i="1"/>
  <c r="C375" i="1"/>
  <c r="B375" i="1"/>
  <c r="D374" i="1"/>
  <c r="C374" i="1"/>
  <c r="B374" i="1"/>
  <c r="D373" i="1"/>
  <c r="C373" i="1"/>
  <c r="B373" i="1"/>
  <c r="D372" i="1"/>
  <c r="C372" i="1"/>
  <c r="B372" i="1"/>
  <c r="D371" i="1"/>
  <c r="C371" i="1"/>
  <c r="B371" i="1"/>
  <c r="D370" i="1"/>
  <c r="C370" i="1"/>
  <c r="B370" i="1"/>
  <c r="D369" i="1"/>
  <c r="C369" i="1"/>
  <c r="B369" i="1"/>
  <c r="D368" i="1"/>
  <c r="C368" i="1"/>
  <c r="B368" i="1"/>
  <c r="D367" i="1"/>
  <c r="C367" i="1"/>
  <c r="B367" i="1"/>
  <c r="D366" i="1"/>
  <c r="C366" i="1"/>
  <c r="B366" i="1"/>
  <c r="D365" i="1"/>
  <c r="C365" i="1"/>
  <c r="B365" i="1"/>
  <c r="D364" i="1"/>
  <c r="C364" i="1"/>
  <c r="B364" i="1"/>
  <c r="D363" i="1"/>
  <c r="C363" i="1"/>
  <c r="B363" i="1"/>
  <c r="D362" i="1"/>
  <c r="C362" i="1"/>
  <c r="B362" i="1"/>
  <c r="D361" i="1"/>
  <c r="C361" i="1"/>
  <c r="B361" i="1"/>
  <c r="D360" i="1"/>
  <c r="C360" i="1"/>
  <c r="B360" i="1"/>
  <c r="D359" i="1"/>
  <c r="C359" i="1"/>
  <c r="B359" i="1"/>
  <c r="D358" i="1"/>
  <c r="C358" i="1"/>
  <c r="B358" i="1"/>
  <c r="D357" i="1"/>
  <c r="C357" i="1"/>
  <c r="B357" i="1"/>
  <c r="D356" i="1"/>
  <c r="C356" i="1"/>
  <c r="B356" i="1"/>
  <c r="D355" i="1"/>
  <c r="C355" i="1"/>
  <c r="B355" i="1"/>
  <c r="D354" i="1"/>
  <c r="C354" i="1"/>
  <c r="B354" i="1"/>
  <c r="D353" i="1"/>
  <c r="C353" i="1"/>
  <c r="B353" i="1"/>
  <c r="D352" i="1"/>
  <c r="C352" i="1"/>
  <c r="B352" i="1"/>
  <c r="D351" i="1"/>
  <c r="C351" i="1"/>
  <c r="B351" i="1"/>
  <c r="D350" i="1"/>
  <c r="C350" i="1"/>
  <c r="B350" i="1"/>
  <c r="D349" i="1"/>
  <c r="C349" i="1"/>
  <c r="B349" i="1"/>
  <c r="D348" i="1"/>
  <c r="C348" i="1"/>
  <c r="B348" i="1"/>
  <c r="D347" i="1"/>
  <c r="C347" i="1"/>
  <c r="B347" i="1"/>
  <c r="D346" i="1"/>
  <c r="C346" i="1"/>
  <c r="B346" i="1"/>
  <c r="D345" i="1"/>
  <c r="C345" i="1"/>
  <c r="B345" i="1"/>
  <c r="D344" i="1"/>
  <c r="C344" i="1"/>
  <c r="B344" i="1"/>
  <c r="D343" i="1"/>
  <c r="C343" i="1"/>
  <c r="B343" i="1"/>
  <c r="D342" i="1"/>
  <c r="C342" i="1"/>
  <c r="B342" i="1"/>
  <c r="D341" i="1"/>
  <c r="C341" i="1"/>
  <c r="B341" i="1"/>
  <c r="D340" i="1"/>
  <c r="C340" i="1"/>
  <c r="B340" i="1"/>
  <c r="D339" i="1"/>
  <c r="C339" i="1"/>
  <c r="B339" i="1"/>
  <c r="D338" i="1"/>
  <c r="C338" i="1"/>
  <c r="B338" i="1"/>
  <c r="D337" i="1"/>
  <c r="C337" i="1"/>
  <c r="B337" i="1"/>
  <c r="D336" i="1"/>
  <c r="C336" i="1"/>
  <c r="B336" i="1"/>
  <c r="D335" i="1"/>
  <c r="C335" i="1"/>
  <c r="B335" i="1"/>
  <c r="D334" i="1"/>
  <c r="C334" i="1"/>
  <c r="B334" i="1"/>
  <c r="D333" i="1"/>
  <c r="C333" i="1"/>
  <c r="B333" i="1"/>
  <c r="D332" i="1"/>
  <c r="C332" i="1"/>
  <c r="B332" i="1"/>
  <c r="D331" i="1"/>
  <c r="C331" i="1"/>
  <c r="B331" i="1"/>
  <c r="D330" i="1"/>
  <c r="C330" i="1"/>
  <c r="B330" i="1"/>
  <c r="D329" i="1"/>
  <c r="C329" i="1"/>
  <c r="B329" i="1"/>
  <c r="D328" i="1"/>
  <c r="C328" i="1"/>
  <c r="B328" i="1"/>
  <c r="D327" i="1"/>
  <c r="C327" i="1"/>
  <c r="B327" i="1"/>
  <c r="D326" i="1"/>
  <c r="C326" i="1"/>
  <c r="B326" i="1"/>
  <c r="D325" i="1"/>
  <c r="C325" i="1"/>
  <c r="B325" i="1"/>
  <c r="D324" i="1"/>
  <c r="C324" i="1"/>
  <c r="B324" i="1"/>
  <c r="D323" i="1"/>
  <c r="C323" i="1"/>
  <c r="B323" i="1"/>
  <c r="D322" i="1"/>
  <c r="C322" i="1"/>
  <c r="B322" i="1"/>
  <c r="D321" i="1"/>
  <c r="C321" i="1"/>
  <c r="B321" i="1"/>
  <c r="D320" i="1"/>
  <c r="C320" i="1"/>
  <c r="B320" i="1"/>
  <c r="D319" i="1"/>
  <c r="C319" i="1"/>
  <c r="B319" i="1"/>
  <c r="D318" i="1"/>
  <c r="C318" i="1"/>
  <c r="B318" i="1"/>
  <c r="D317" i="1"/>
  <c r="C317" i="1"/>
  <c r="B317" i="1"/>
  <c r="D316" i="1"/>
  <c r="C316" i="1"/>
  <c r="B316" i="1"/>
  <c r="D315" i="1"/>
  <c r="C315" i="1"/>
  <c r="B315" i="1"/>
  <c r="D314" i="1"/>
  <c r="C314" i="1"/>
  <c r="B314" i="1"/>
  <c r="D313" i="1"/>
  <c r="C313" i="1"/>
  <c r="B313" i="1"/>
  <c r="D312" i="1"/>
  <c r="C312" i="1"/>
  <c r="B312" i="1"/>
  <c r="D311" i="1"/>
  <c r="C311" i="1"/>
  <c r="B311" i="1"/>
  <c r="D310" i="1"/>
  <c r="C310" i="1"/>
  <c r="B310" i="1"/>
  <c r="D309" i="1"/>
  <c r="B309" i="1"/>
  <c r="D308" i="1"/>
  <c r="C308" i="1"/>
  <c r="B308" i="1"/>
  <c r="D307" i="1"/>
  <c r="C307" i="1"/>
  <c r="B307" i="1"/>
  <c r="D306" i="1"/>
  <c r="C306" i="1"/>
  <c r="B306" i="1"/>
  <c r="D305" i="1"/>
  <c r="C305" i="1"/>
  <c r="B305" i="1"/>
  <c r="D304" i="1"/>
  <c r="C304" i="1"/>
  <c r="B304" i="1"/>
  <c r="D303" i="1"/>
  <c r="C303" i="1"/>
  <c r="B303" i="1"/>
  <c r="D302" i="1"/>
  <c r="C302" i="1"/>
  <c r="B302" i="1"/>
  <c r="D301" i="1"/>
  <c r="C301" i="1"/>
  <c r="B301" i="1"/>
  <c r="D300" i="1"/>
  <c r="C300" i="1"/>
  <c r="B300" i="1"/>
  <c r="D299" i="1"/>
  <c r="C299" i="1"/>
  <c r="B299" i="1"/>
  <c r="D298" i="1"/>
  <c r="C298" i="1"/>
  <c r="D297" i="1"/>
  <c r="C297" i="1"/>
  <c r="B297" i="1"/>
  <c r="D296" i="1"/>
  <c r="C296" i="1"/>
  <c r="B296" i="1"/>
  <c r="D295" i="1"/>
  <c r="C295" i="1"/>
  <c r="B295" i="1"/>
  <c r="D294" i="1"/>
  <c r="C294" i="1"/>
  <c r="B294" i="1"/>
  <c r="D293" i="1"/>
  <c r="C293" i="1"/>
  <c r="B293" i="1"/>
  <c r="D292" i="1"/>
  <c r="C292" i="1"/>
  <c r="B292" i="1"/>
  <c r="D291" i="1"/>
  <c r="C291" i="1"/>
  <c r="B291" i="1"/>
  <c r="D290" i="1"/>
  <c r="C290" i="1"/>
  <c r="B290" i="1"/>
  <c r="D289" i="1"/>
  <c r="C289" i="1"/>
  <c r="B289" i="1"/>
  <c r="D288" i="1"/>
  <c r="C288" i="1"/>
  <c r="B288" i="1"/>
  <c r="D287" i="1"/>
  <c r="C287" i="1"/>
  <c r="B287" i="1"/>
  <c r="D286" i="1"/>
  <c r="C286" i="1"/>
  <c r="B286" i="1"/>
  <c r="D285" i="1"/>
  <c r="C285" i="1"/>
  <c r="B285" i="1"/>
  <c r="D284" i="1"/>
  <c r="C284" i="1"/>
  <c r="B284" i="1"/>
  <c r="D283" i="1"/>
  <c r="C283" i="1"/>
  <c r="B283" i="1"/>
  <c r="D282" i="1"/>
  <c r="C282" i="1"/>
  <c r="B282" i="1"/>
  <c r="D281" i="1"/>
  <c r="C281" i="1"/>
  <c r="B281" i="1"/>
  <c r="D280" i="1"/>
  <c r="C280" i="1"/>
  <c r="B280" i="1"/>
  <c r="D279" i="1"/>
  <c r="C279" i="1"/>
  <c r="B279" i="1"/>
  <c r="D278" i="1"/>
  <c r="C278" i="1"/>
  <c r="B278" i="1"/>
  <c r="D277" i="1"/>
  <c r="C277" i="1"/>
  <c r="B277" i="1"/>
  <c r="D276" i="1"/>
  <c r="C276" i="1"/>
  <c r="B276" i="1"/>
  <c r="D275" i="1"/>
  <c r="C275" i="1"/>
  <c r="B275" i="1"/>
  <c r="D274" i="1"/>
  <c r="C274" i="1"/>
  <c r="B274" i="1"/>
  <c r="D273" i="1"/>
  <c r="C273" i="1"/>
  <c r="B273" i="1"/>
  <c r="D272" i="1"/>
  <c r="C272" i="1"/>
  <c r="B272" i="1"/>
  <c r="D271" i="1"/>
  <c r="C271" i="1"/>
  <c r="B271" i="1"/>
  <c r="D270" i="1"/>
  <c r="C270" i="1"/>
  <c r="B270" i="1"/>
  <c r="D269" i="1"/>
  <c r="C269" i="1"/>
  <c r="B269" i="1"/>
  <c r="D268" i="1"/>
  <c r="C268" i="1"/>
  <c r="B268" i="1"/>
  <c r="D267" i="1"/>
  <c r="C267" i="1"/>
  <c r="B267" i="1"/>
  <c r="D266" i="1"/>
  <c r="C266" i="1"/>
  <c r="B266" i="1"/>
  <c r="D265" i="1"/>
  <c r="C265" i="1"/>
  <c r="B265" i="1"/>
  <c r="D264" i="1"/>
  <c r="C264" i="1"/>
  <c r="B264" i="1"/>
  <c r="D263" i="1"/>
  <c r="C263" i="1"/>
  <c r="B263" i="1"/>
  <c r="D262" i="1"/>
  <c r="C262" i="1"/>
  <c r="B262" i="1"/>
  <c r="D261" i="1"/>
  <c r="C261" i="1"/>
  <c r="B261" i="1"/>
  <c r="D260" i="1"/>
  <c r="C260" i="1"/>
  <c r="B260" i="1"/>
  <c r="D259" i="1"/>
  <c r="C259" i="1"/>
  <c r="B259" i="1"/>
  <c r="D258" i="1"/>
  <c r="C258" i="1"/>
  <c r="B258" i="1"/>
  <c r="D257" i="1"/>
  <c r="C257" i="1"/>
  <c r="B257" i="1"/>
  <c r="D256" i="1"/>
  <c r="C256" i="1"/>
  <c r="B256" i="1"/>
  <c r="D255" i="1"/>
  <c r="C255" i="1"/>
  <c r="B255" i="1"/>
  <c r="D254" i="1"/>
  <c r="C254" i="1"/>
  <c r="B254" i="1"/>
  <c r="D253" i="1"/>
  <c r="C253" i="1"/>
  <c r="B253" i="1"/>
  <c r="D252" i="1"/>
  <c r="C252" i="1"/>
  <c r="B252" i="1"/>
  <c r="D251" i="1"/>
  <c r="C251" i="1"/>
  <c r="B251" i="1"/>
  <c r="D250" i="1"/>
  <c r="C250" i="1"/>
  <c r="B250" i="1"/>
  <c r="D249" i="1"/>
  <c r="C249" i="1"/>
  <c r="B249" i="1"/>
  <c r="D248" i="1"/>
  <c r="C248" i="1"/>
  <c r="B248" i="1"/>
  <c r="D247" i="1"/>
  <c r="C247" i="1"/>
  <c r="B247" i="1"/>
  <c r="D246" i="1"/>
  <c r="C246" i="1"/>
  <c r="B246" i="1"/>
  <c r="D245" i="1"/>
  <c r="C245" i="1"/>
  <c r="B245" i="1"/>
  <c r="D244" i="1"/>
  <c r="C244" i="1"/>
  <c r="B244" i="1"/>
  <c r="D243" i="1"/>
  <c r="C243" i="1"/>
  <c r="B243" i="1"/>
  <c r="D242" i="1"/>
  <c r="C242" i="1"/>
  <c r="B242" i="1"/>
  <c r="D241" i="1"/>
  <c r="C241" i="1"/>
  <c r="B241" i="1"/>
  <c r="D240" i="1"/>
  <c r="C240" i="1"/>
  <c r="B240" i="1"/>
  <c r="D239" i="1"/>
  <c r="C239" i="1"/>
  <c r="B239" i="1"/>
  <c r="D238" i="1"/>
  <c r="C238" i="1"/>
  <c r="B238" i="1"/>
  <c r="D237" i="1"/>
  <c r="C237" i="1"/>
  <c r="B237" i="1"/>
  <c r="D236" i="1"/>
  <c r="C236" i="1"/>
  <c r="B236" i="1"/>
  <c r="D235" i="1"/>
  <c r="C235" i="1"/>
  <c r="B235" i="1"/>
  <c r="D234" i="1"/>
  <c r="C234" i="1"/>
  <c r="B234" i="1"/>
  <c r="D233" i="1"/>
  <c r="C233" i="1"/>
  <c r="B233" i="1"/>
  <c r="D232" i="1"/>
  <c r="C232" i="1"/>
  <c r="B232" i="1"/>
  <c r="D231" i="1"/>
  <c r="C231" i="1"/>
  <c r="B231" i="1"/>
  <c r="D230" i="1"/>
  <c r="C230" i="1"/>
  <c r="B230" i="1"/>
  <c r="D229" i="1"/>
  <c r="C229" i="1"/>
  <c r="B229" i="1"/>
  <c r="D228" i="1"/>
  <c r="C228" i="1"/>
  <c r="B228" i="1"/>
  <c r="D227" i="1"/>
  <c r="C227" i="1"/>
  <c r="B227" i="1"/>
  <c r="D226" i="1"/>
  <c r="C226" i="1"/>
  <c r="B226" i="1"/>
  <c r="D225" i="1"/>
  <c r="C225" i="1"/>
  <c r="B225" i="1"/>
  <c r="D224" i="1"/>
  <c r="C224" i="1"/>
  <c r="B224" i="1"/>
  <c r="D223" i="1"/>
  <c r="C223" i="1"/>
  <c r="B223" i="1"/>
  <c r="D222" i="1"/>
  <c r="C222" i="1"/>
  <c r="B222" i="1"/>
  <c r="D221" i="1"/>
  <c r="C221" i="1"/>
  <c r="B221" i="1"/>
  <c r="D220" i="1"/>
  <c r="C220" i="1"/>
  <c r="B220" i="1"/>
  <c r="D219" i="1"/>
  <c r="C219" i="1"/>
  <c r="B219" i="1"/>
  <c r="D218" i="1"/>
  <c r="C218" i="1"/>
  <c r="D217" i="1"/>
  <c r="C217" i="1"/>
  <c r="B217" i="1"/>
  <c r="D216" i="1"/>
  <c r="C216" i="1"/>
  <c r="B216" i="1"/>
  <c r="D215" i="1"/>
  <c r="C215" i="1"/>
  <c r="B215" i="1"/>
  <c r="D214" i="1"/>
  <c r="C214" i="1"/>
  <c r="B214" i="1"/>
  <c r="D213" i="1"/>
  <c r="D212" i="1"/>
  <c r="C212" i="1"/>
  <c r="B212" i="1"/>
  <c r="D211" i="1"/>
  <c r="C211" i="1"/>
  <c r="B211" i="1"/>
  <c r="D210" i="1"/>
  <c r="C210" i="1"/>
  <c r="B210" i="1"/>
  <c r="D209" i="1"/>
  <c r="C209" i="1"/>
  <c r="B209" i="1"/>
  <c r="D208" i="1"/>
  <c r="C208" i="1"/>
  <c r="B208" i="1"/>
  <c r="D207" i="1"/>
  <c r="C207" i="1"/>
  <c r="B207" i="1"/>
  <c r="D206" i="1"/>
  <c r="C206" i="1"/>
  <c r="B206" i="1"/>
  <c r="D205" i="1"/>
  <c r="C205" i="1"/>
  <c r="B205" i="1"/>
  <c r="D204" i="1"/>
  <c r="C204" i="1"/>
  <c r="B204" i="1"/>
  <c r="D203" i="1"/>
  <c r="C203" i="1"/>
  <c r="B203" i="1"/>
  <c r="D202" i="1"/>
  <c r="C202" i="1"/>
  <c r="B202" i="1"/>
  <c r="D201" i="1"/>
  <c r="C201" i="1"/>
  <c r="B201" i="1"/>
  <c r="D200" i="1"/>
  <c r="C200" i="1"/>
  <c r="B200" i="1"/>
  <c r="D199" i="1"/>
  <c r="C199" i="1"/>
  <c r="B199" i="1"/>
  <c r="D198" i="1"/>
  <c r="C198" i="1"/>
  <c r="B198" i="1"/>
  <c r="D197" i="1"/>
  <c r="C197" i="1"/>
  <c r="B197" i="1"/>
  <c r="D196" i="1"/>
  <c r="C196" i="1"/>
  <c r="B196" i="1"/>
  <c r="D195" i="1"/>
  <c r="C195" i="1"/>
  <c r="B195" i="1"/>
  <c r="D194" i="1"/>
  <c r="C194" i="1"/>
  <c r="B194" i="1"/>
  <c r="D193" i="1"/>
  <c r="C193" i="1"/>
  <c r="B193" i="1"/>
  <c r="D192" i="1"/>
  <c r="C192" i="1"/>
  <c r="B192" i="1"/>
  <c r="D191" i="1"/>
  <c r="C191" i="1"/>
  <c r="B191" i="1"/>
  <c r="D190" i="1"/>
  <c r="C190" i="1"/>
  <c r="B190" i="1"/>
  <c r="D189" i="1"/>
  <c r="C189" i="1"/>
  <c r="B189" i="1"/>
  <c r="D188" i="1"/>
  <c r="C188" i="1"/>
  <c r="B188" i="1"/>
  <c r="D187" i="1"/>
  <c r="C187" i="1"/>
  <c r="D186" i="1"/>
  <c r="C186" i="1"/>
  <c r="B186" i="1"/>
  <c r="D185" i="1"/>
  <c r="C185" i="1"/>
  <c r="B185" i="1"/>
  <c r="D184" i="1"/>
  <c r="C184" i="1"/>
  <c r="B184" i="1"/>
  <c r="D183" i="1"/>
  <c r="C183" i="1"/>
  <c r="B183" i="1"/>
  <c r="D182" i="1"/>
  <c r="C182" i="1"/>
  <c r="B182" i="1"/>
  <c r="D181" i="1"/>
  <c r="C181" i="1"/>
  <c r="B181" i="1"/>
  <c r="D180" i="1"/>
  <c r="C180" i="1"/>
  <c r="B180" i="1"/>
  <c r="D179" i="1"/>
  <c r="C179" i="1"/>
  <c r="B179" i="1"/>
  <c r="D178" i="1"/>
  <c r="C178" i="1"/>
  <c r="B178" i="1"/>
  <c r="D177" i="1"/>
  <c r="C177" i="1"/>
  <c r="B177" i="1"/>
  <c r="D176" i="1"/>
  <c r="C176" i="1"/>
  <c r="B176" i="1"/>
  <c r="D175" i="1"/>
  <c r="C175" i="1"/>
  <c r="B175" i="1"/>
  <c r="D174" i="1"/>
  <c r="C174" i="1"/>
  <c r="B174" i="1"/>
  <c r="D173" i="1"/>
  <c r="C173" i="1"/>
  <c r="B173" i="1"/>
  <c r="D172" i="1"/>
  <c r="C172" i="1"/>
  <c r="B172" i="1"/>
  <c r="D171" i="1"/>
  <c r="C171" i="1"/>
  <c r="B171" i="1"/>
  <c r="D170" i="1"/>
  <c r="C170" i="1"/>
  <c r="B170" i="1"/>
  <c r="D169" i="1"/>
  <c r="C169" i="1"/>
  <c r="B169" i="1"/>
  <c r="D168" i="1"/>
  <c r="C168" i="1"/>
  <c r="B168" i="1"/>
  <c r="D167" i="1"/>
  <c r="C167" i="1"/>
  <c r="B167" i="1"/>
  <c r="D166" i="1"/>
  <c r="C166" i="1"/>
  <c r="B166" i="1"/>
  <c r="D165" i="1"/>
  <c r="C165" i="1"/>
  <c r="B165" i="1"/>
  <c r="D164" i="1"/>
  <c r="C164" i="1"/>
  <c r="B164" i="1"/>
  <c r="D163" i="1"/>
  <c r="C163" i="1"/>
  <c r="B163" i="1"/>
  <c r="D162" i="1"/>
  <c r="C162" i="1"/>
  <c r="B162" i="1"/>
  <c r="D161" i="1"/>
  <c r="C161" i="1"/>
  <c r="B161" i="1"/>
  <c r="D160" i="1"/>
  <c r="C160" i="1"/>
  <c r="B160" i="1"/>
  <c r="D159" i="1"/>
  <c r="C159" i="1"/>
  <c r="B159" i="1"/>
  <c r="D158" i="1"/>
  <c r="C158" i="1"/>
  <c r="B158" i="1"/>
  <c r="D157" i="1"/>
  <c r="C157" i="1"/>
  <c r="B157" i="1"/>
  <c r="D156" i="1"/>
  <c r="C156" i="1"/>
  <c r="B156" i="1"/>
  <c r="D155" i="1"/>
  <c r="C155" i="1"/>
  <c r="B155" i="1"/>
  <c r="D154" i="1"/>
  <c r="C154" i="1"/>
  <c r="B154" i="1"/>
  <c r="D153" i="1"/>
  <c r="C153" i="1"/>
  <c r="B153" i="1"/>
  <c r="D152" i="1"/>
  <c r="C152" i="1"/>
  <c r="B152" i="1"/>
  <c r="D151" i="1"/>
  <c r="C151" i="1"/>
  <c r="B151" i="1"/>
  <c r="D150" i="1"/>
  <c r="C150" i="1"/>
  <c r="B150" i="1"/>
  <c r="D149" i="1"/>
  <c r="C149" i="1"/>
  <c r="B149" i="1"/>
  <c r="D148" i="1"/>
  <c r="C148" i="1"/>
  <c r="B148" i="1"/>
  <c r="D147" i="1"/>
  <c r="B147" i="1"/>
  <c r="D146" i="1"/>
  <c r="C146" i="1"/>
  <c r="B146" i="1"/>
  <c r="D145" i="1"/>
  <c r="C145" i="1"/>
  <c r="B145" i="1"/>
  <c r="D144" i="1"/>
  <c r="C144" i="1"/>
  <c r="B144" i="1"/>
  <c r="D143" i="1"/>
  <c r="C143" i="1"/>
  <c r="B143" i="1"/>
  <c r="D142" i="1"/>
  <c r="C142" i="1"/>
  <c r="D141" i="1"/>
  <c r="C141" i="1"/>
  <c r="B141" i="1"/>
  <c r="D140" i="1"/>
  <c r="C140" i="1"/>
  <c r="B140" i="1"/>
  <c r="D139" i="1"/>
  <c r="C139" i="1"/>
  <c r="D138" i="1"/>
  <c r="C138" i="1"/>
  <c r="B138" i="1"/>
  <c r="D137" i="1"/>
  <c r="C137" i="1"/>
  <c r="D136" i="1"/>
  <c r="C136" i="1"/>
  <c r="B136" i="1"/>
  <c r="D135" i="1"/>
  <c r="C135" i="1"/>
  <c r="B135" i="1"/>
  <c r="D134" i="1"/>
  <c r="C134" i="1"/>
  <c r="B134" i="1"/>
  <c r="D133" i="1"/>
  <c r="C133" i="1"/>
  <c r="B133" i="1"/>
  <c r="D132" i="1"/>
  <c r="C132" i="1"/>
  <c r="B132" i="1"/>
  <c r="D131" i="1"/>
  <c r="C131" i="1"/>
  <c r="B131" i="1"/>
  <c r="D130" i="1"/>
  <c r="C130" i="1"/>
  <c r="B130" i="1"/>
  <c r="D129" i="1"/>
  <c r="C129" i="1"/>
  <c r="B129" i="1"/>
  <c r="D128" i="1"/>
  <c r="C128" i="1"/>
  <c r="B128" i="1"/>
  <c r="D127" i="1"/>
  <c r="C127" i="1"/>
  <c r="B127" i="1"/>
  <c r="D126" i="1"/>
  <c r="C126" i="1"/>
  <c r="B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B83" i="1"/>
  <c r="D82" i="1"/>
  <c r="C82" i="1"/>
  <c r="B82" i="1"/>
  <c r="D81" i="1"/>
  <c r="C81" i="1"/>
  <c r="B81" i="1"/>
  <c r="D80" i="1"/>
  <c r="C80" i="1"/>
  <c r="B80" i="1"/>
  <c r="D79" i="1"/>
  <c r="C79" i="1"/>
  <c r="B79" i="1"/>
  <c r="D78" i="1"/>
  <c r="C78" i="1"/>
  <c r="B78" i="1"/>
  <c r="D77" i="1"/>
  <c r="C77" i="1"/>
  <c r="D76" i="1"/>
  <c r="C76" i="1"/>
  <c r="B76" i="1"/>
  <c r="D75" i="1"/>
  <c r="C75" i="1"/>
  <c r="B75" i="1"/>
  <c r="D74" i="1"/>
  <c r="C74" i="1"/>
  <c r="B74" i="1"/>
  <c r="D73" i="1"/>
  <c r="C73" i="1"/>
  <c r="B73" i="1"/>
  <c r="D72" i="1"/>
  <c r="C72" i="1"/>
  <c r="B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C21" i="1"/>
  <c r="D20" i="1"/>
  <c r="C20" i="1"/>
  <c r="D19" i="1"/>
  <c r="C19" i="1"/>
  <c r="D18" i="1"/>
  <c r="C18" i="1"/>
  <c r="D17" i="1"/>
  <c r="C17" i="1"/>
  <c r="D16" i="1"/>
  <c r="C16" i="1"/>
  <c r="D15" i="1"/>
  <c r="C15" i="1"/>
  <c r="D14" i="1"/>
  <c r="C14" i="1"/>
  <c r="D13" i="1"/>
  <c r="C13" i="1"/>
  <c r="D12" i="1"/>
  <c r="C12" i="1"/>
  <c r="D11" i="1"/>
  <c r="C11" i="1"/>
  <c r="D10" i="1"/>
  <c r="C10" i="1"/>
  <c r="D9" i="1"/>
  <c r="C9" i="1"/>
  <c r="E8" i="1"/>
  <c r="D8" i="1"/>
  <c r="C8" i="1"/>
  <c r="D7" i="1"/>
  <c r="C7" i="1"/>
  <c r="D6" i="1"/>
  <c r="C6" i="1"/>
  <c r="D5" i="1"/>
  <c r="C5" i="1"/>
  <c r="D4" i="1"/>
  <c r="C4" i="1"/>
  <c r="D3" i="1"/>
  <c r="C3" i="1"/>
  <c r="D2" i="1"/>
  <c r="C2" i="1"/>
</calcChain>
</file>

<file path=xl/sharedStrings.xml><?xml version="1.0" encoding="utf-8"?>
<sst xmlns="http://schemas.openxmlformats.org/spreadsheetml/2006/main" count="1199" uniqueCount="1199">
  <si>
    <t>Concept</t>
  </si>
  <si>
    <t>Explanation</t>
  </si>
  <si>
    <t>Example Question</t>
  </si>
  <si>
    <t>Example Answer</t>
  </si>
  <si>
    <t>Word</t>
  </si>
  <si>
    <t>Definition</t>
  </si>
  <si>
    <t>Synonyms</t>
  </si>
  <si>
    <t>Example</t>
  </si>
  <si>
    <t>How much is 540 sq feet in sq meters? (3.28 ft to a meter)</t>
  </si>
  <si>
    <t>castigate</t>
  </si>
  <si>
    <t>Looking at squared value so square the conversion factor. 540/(3.28^2)</t>
  </si>
  <si>
    <t>criticize someone very harshly</t>
  </si>
  <si>
    <t>Pattern Recognition Strategy</t>
  </si>
  <si>
    <t>circumscribe</t>
  </si>
  <si>
    <t>strictly limit, restrict, or define the boundaries of something</t>
  </si>
  <si>
    <t xml:space="preserve">Find repeating patterns that repeat every 3/4 terms, so finding 50th/200th term becomes simple as a multiple of the number of sequences. </t>
  </si>
  <si>
    <t>conflagration</t>
  </si>
  <si>
    <t>a large fire which burns a lot of buildings, land, forests, etc.</t>
  </si>
  <si>
    <t>Unit digit?</t>
  </si>
  <si>
    <t>Last digit of a number (far right)</t>
  </si>
  <si>
    <t>glib</t>
  </si>
  <si>
    <t>Speaking easily and confidently, but in a way that is shallow, insincere, or dishonest</t>
  </si>
  <si>
    <t>Unit digit of 3 + 3^2 + 3^3 + ... + 3^50?</t>
  </si>
  <si>
    <t>limpid</t>
  </si>
  <si>
    <t xml:space="preserve">Find repeating pattern in unit digit sums. For this its 3, 2, 9, 0 (then repeats). 3^(multiples of 4) fall on 0 and so 3^48 falls on 0. Thus 3^50 falls on 2, the UD for the whole sequence is 2. </t>
  </si>
  <si>
    <t>perfectly clear, transparent, or simple to understand</t>
  </si>
  <si>
    <t>Simple Interest formula</t>
  </si>
  <si>
    <t>platitude</t>
  </si>
  <si>
    <t>a remark or statement that has been made very often before and is therefore not interesting</t>
  </si>
  <si>
    <t>A = p(1 + rt), r = annual interest rate, t = time in years, p = principal, A = final amount. In other words, interest gained is prt, add principal p, A = p + prt</t>
  </si>
  <si>
    <t>portend</t>
  </si>
  <si>
    <t>To be a sign or warning that something usually bad is likely to happen in the future</t>
  </si>
  <si>
    <t>Compound Interest formula</t>
  </si>
  <si>
    <t>A = p(1 + r)^t. E.g. if r = 0.04, p = 300, t = 5 years, A = 300(1.04)^5.</t>
  </si>
  <si>
    <t>Compound Interest formula (compounds multiple times a year)</t>
  </si>
  <si>
    <t>A = p(1 + r/n)^nt, n = number of compounds per year</t>
  </si>
  <si>
    <t>Compound decrease formula</t>
  </si>
  <si>
    <t>A = p(1 - r)^t</t>
  </si>
  <si>
    <t>presage</t>
  </si>
  <si>
    <t>To give a sign or warning of an event, or to have a gut feeling that something will happen</t>
  </si>
  <si>
    <t>How many factors does have a number have?</t>
  </si>
  <si>
    <t>Prime factorization eg. 60 = 2^2 * 3 * 5. Number of factors = ∏ (exponent of each term in prime factorization + 1), so for 60, its 3 * 2 * 2 = 12</t>
  </si>
  <si>
    <t>purport</t>
  </si>
  <si>
    <t>To claim, profess, or give the appearance of being or doing something</t>
  </si>
  <si>
    <t>How many factors does a factorial have?</t>
  </si>
  <si>
    <t>Legendres method to find prime factorization of the factorial, then number of factors = ∏ (exponent of each term in prime factorization + 1)</t>
  </si>
  <si>
    <t>obsequious</t>
  </si>
  <si>
    <t>behavior that is excessively eager to please, obey, or flatter someone, particularly those in authority, often in a servile or insincere manner</t>
  </si>
  <si>
    <t>captious</t>
  </si>
  <si>
    <t>How to do Legendres method for n!</t>
  </si>
  <si>
    <t>a tendency to find fault or raise petty, unnecessary objections in a critical or querulous way</t>
  </si>
  <si>
    <t xml:space="preserve">For each prime &lt;= n, find how many multiples of that prime and its exponents are also &lt;= n. Then that returns the prime factorization of n! which is each primes with its corresponding multiples (and the multiples of its exponents). </t>
  </si>
  <si>
    <t xml:space="preserve">querulous </t>
  </si>
  <si>
    <t xml:space="preserve">someone who is habitually complaining, has a tendency to quarreling </t>
  </si>
  <si>
    <t xml:space="preserve">How many odd factors of a number? </t>
  </si>
  <si>
    <t>Odd numbers can't have even factors, so just delete even primes (the 2 term) from prime factorization and number of factors = ∏ (exponent of each term in prime factorization + 1)</t>
  </si>
  <si>
    <t>salubrious</t>
  </si>
  <si>
    <t>favorable to health of mind or body</t>
  </si>
  <si>
    <t>intrepid</t>
  </si>
  <si>
    <t>Not moved by danger; free from alarm; undaunted</t>
  </si>
  <si>
    <t>How many even factors of a number?</t>
  </si>
  <si>
    <t>Total factors - odd factors</t>
  </si>
  <si>
    <t>tractable</t>
  </si>
  <si>
    <t>easy to deal with, manage or control</t>
  </si>
  <si>
    <t>Factorial division m!/n!</t>
  </si>
  <si>
    <t>The larger factorial can cancel out the smaller. E.g. m = 8, n = 5, m!/n! = (8*7*6*5!)/5! = 8*7*6</t>
  </si>
  <si>
    <t>belie</t>
  </si>
  <si>
    <t>give a false impression; disprove</t>
  </si>
  <si>
    <t>capricious</t>
  </si>
  <si>
    <t>having various moods; fickle</t>
  </si>
  <si>
    <t>How many of a certain number r in a factorial n!?</t>
  </si>
  <si>
    <t>caprice</t>
  </si>
  <si>
    <t>noun of capricious, sudden change without clear reason</t>
  </si>
  <si>
    <t>mercurial</t>
  </si>
  <si>
    <r>
      <rPr>
        <sz val="10"/>
        <color theme="1"/>
        <rFont val="Arial"/>
      </rPr>
      <t xml:space="preserve">Use legendres method for r. If r is a composite number, do legendres separately for each prime factorization term and find the </t>
    </r>
    <r>
      <rPr>
        <i/>
        <sz val="10"/>
        <color theme="1"/>
        <rFont val="Arial"/>
      </rPr>
      <t xml:space="preserve">minimum </t>
    </r>
    <r>
      <rPr>
        <sz val="10"/>
        <color theme="1"/>
        <rFont val="Arial"/>
      </rPr>
      <t xml:space="preserve">terms.  </t>
    </r>
  </si>
  <si>
    <t>person whose moods change unexpectedly/quickly without warning, or they react in unexpected ways</t>
  </si>
  <si>
    <t>amorphous</t>
  </si>
  <si>
    <t>lacking structure, unclear</t>
  </si>
  <si>
    <t>The author's amorphous writing style made the novel's plot incredibly difficult to follow.</t>
  </si>
  <si>
    <t>nebulous</t>
  </si>
  <si>
    <t>not clear or exact (about shapes: no defined edges)</t>
  </si>
  <si>
    <t>Largest factor r of factorial n!</t>
  </si>
  <si>
    <t xml:space="preserve">Use legendres method. If r is a composite number, do legendres separately for each prime. If the composite has an exponent, like 2^3, do legendres for 2 and divide legendres answer by 3 (that will effectively give legendres of 8). Then the prime factorization term with the minimum final legendres value will be the legendres answer for the total composite. </t>
  </si>
  <si>
    <t>Q: If 30!/3^x is an integer, what is the largest possible value of x?</t>
  </si>
  <si>
    <t xml:space="preserve">Legrendes for 3: 3^1: 10, 3^2 = 3, 3^3 = 1, Total = 14. Largest x is 14. </t>
  </si>
  <si>
    <t>Q: If 100!/24^x is an integer, what is the largest possible value of x?</t>
  </si>
  <si>
    <t xml:space="preserve">24 = 2^3 * 3. Legendres for 2: 2^1: 50, 2^2: 25, 2^3: 12, 2^4: 6, 2^5: 3, 2^6: 1. Total = 97. We want 8^x which is 2^3x so x = 97/3 = 32.3. We ignore the 0.3 as we want full integers, so x = 32. Legendres for 3: 3^1: 33, 3^2: 11, 3^3: 3, 3^4: 1. Legendres = 48. Minimum is 32. So answer is 32. </t>
  </si>
  <si>
    <t>spartan</t>
  </si>
  <si>
    <t>very simple, not comfortable</t>
  </si>
  <si>
    <t>Legendres trick</t>
  </si>
  <si>
    <t xml:space="preserve">Multiples of first exponent (r^1) present = m. 2nd exponent will be floor of m/r (remove the decimal). And so on until 0 is reached. </t>
  </si>
  <si>
    <t xml:space="preserve">cerebral </t>
  </si>
  <si>
    <t>related to the brain; intellectual</t>
  </si>
  <si>
    <t>How many trailing zeroes at the end of factorial?</t>
  </si>
  <si>
    <t xml:space="preserve">Use legendres to find out how many 10s are factors. </t>
  </si>
  <si>
    <t>congenial</t>
  </si>
  <si>
    <t>(of a person) friendly and likable; (of a thing) enjoyable because it aligns with your interests</t>
  </si>
  <si>
    <t>Number of combinations from n numbers</t>
  </si>
  <si>
    <t>n!, but if some numbers are repeated say a and b then its actually n!/(a!b!)</t>
  </si>
  <si>
    <t>convivial</t>
  </si>
  <si>
    <t>Find GCF of group of numbers</t>
  </si>
  <si>
    <t>happy and friendly in character or atmosphere</t>
  </si>
  <si>
    <t>Prime factorize all numbers and take the lowest power of each common prime for prime factorization of new number</t>
  </si>
  <si>
    <t>How many shared factors of group of numbers</t>
  </si>
  <si>
    <t xml:space="preserve">Prime factorize all factors and find the new common prime factorization. Then use exponent multiplication trick ∏ on the new prime factorization to find the number of shared factors of the group of numbers (note: this is the same as finding the factors of the GCF). </t>
  </si>
  <si>
    <t>cursory</t>
  </si>
  <si>
    <t>lacking effort/care</t>
  </si>
  <si>
    <t>perfunctory</t>
  </si>
  <si>
    <t>done quickly as a duty without interest or feeling</t>
  </si>
  <si>
    <t>Find LCM of group of numbers</t>
  </si>
  <si>
    <t>Prime factorize all numbers and take the highest power of each prime from among all the factorizations and multiply them</t>
  </si>
  <si>
    <t>timorous</t>
  </si>
  <si>
    <t>fearful, timid, nervous</t>
  </si>
  <si>
    <t>LCM Divisibility rule</t>
  </si>
  <si>
    <t>If a number is divisible by a and divisible by b it will be divisible by LCM(a, b)</t>
  </si>
  <si>
    <t>arbitrary</t>
  </si>
  <si>
    <t>not seeming to be based on reason or plan, sometimes unfair</t>
  </si>
  <si>
    <t>GCF and LCM relation</t>
  </si>
  <si>
    <t>apropos</t>
  </si>
  <si>
    <t>GCF(a, b) * LCM(a, b) = a * b</t>
  </si>
  <si>
    <t>on the subject of something; relevant, fitting</t>
  </si>
  <si>
    <t>unsown</t>
  </si>
  <si>
    <t>not planted with seeds</t>
  </si>
  <si>
    <t>Always keep in mind units</t>
  </si>
  <si>
    <t xml:space="preserve">Many questions will trick by giving one thing in kmph and then drawing equivalence to a m/s, for example. They are not the same. </t>
  </si>
  <si>
    <t>apposite</t>
  </si>
  <si>
    <t>very appropriate, suitable</t>
  </si>
  <si>
    <t>Equal/Not Equal strategy for comparison</t>
  </si>
  <si>
    <t>In comparison questions, find a case where they're equal, a case where they're not equal, if you find both, answer is D aka cannot be determined which is greater</t>
  </si>
  <si>
    <t>fallow</t>
  </si>
  <si>
    <t>(about land) not used for growing plants, usually done so quality of soil improves</t>
  </si>
  <si>
    <t>"No Math Needed" strategy</t>
  </si>
  <si>
    <t>redoubtable</t>
  </si>
  <si>
    <t>formidable, inspiring fear or awe, worthy of respect</t>
  </si>
  <si>
    <t>sanguine</t>
  </si>
  <si>
    <t># of integers in interval</t>
  </si>
  <si>
    <t>cheerful, hopeful, confident about the future</t>
  </si>
  <si>
    <t>Inclusive: last - first + 1, Exclusive: last - first - 1</t>
  </si>
  <si>
    <t>dilatory</t>
  </si>
  <si>
    <t>slow, tardy, tending to cause delay</t>
  </si>
  <si>
    <t>Sum of integers in an interval</t>
  </si>
  <si>
    <t>Average of interval * number of terms in interval. So if interval is (a, b), then sum = ((a + b)/2)(a - b + 1)</t>
  </si>
  <si>
    <t>tendentious</t>
  </si>
  <si>
    <t>biased, slanted, promoting a controversial point of view</t>
  </si>
  <si>
    <t>Types of sequences: arithmetic, geometric, quadratic, cubic</t>
  </si>
  <si>
    <t>Arithmetic = constant difference, Geometric = constant ratio (each term is last term * constant), Quadratic = common second difference, Cubic = constant third difference, etc. for higher powers</t>
  </si>
  <si>
    <t>didactic</t>
  </si>
  <si>
    <t>meant for teaching, educational (sometimes in a condescending manner)</t>
  </si>
  <si>
    <t>flout</t>
  </si>
  <si>
    <t>Series formulas for exponents</t>
  </si>
  <si>
    <t>break a rule without guilt</t>
  </si>
  <si>
    <t xml:space="preserve">First power series: (1 + 2 + ... + n) = n(n + 1)/2. Second power series: (1^2 + 2^2 + 3^2 + ... + n^2) = n(n + 1)(2n + 1)/6.  </t>
  </si>
  <si>
    <t>humdrum</t>
  </si>
  <si>
    <t>boring, unlikely to excite</t>
  </si>
  <si>
    <t>Series formula for geometric sequence sums</t>
  </si>
  <si>
    <t xml:space="preserve">a = first term, r = geometric series ratio. Series sum = a(r^n - 1)/(r - 1). E.g. sum of first 20 terms of series: 3, 6, 12, 24...: 3(2^20 - 1)/(1) = 1048575*3 = 31,45,725. </t>
  </si>
  <si>
    <t>prosaic</t>
  </si>
  <si>
    <t>dull, ordinary, lacking imagination</t>
  </si>
  <si>
    <t>Sum of "trick" series like 1, -2, 3, -4 ...</t>
  </si>
  <si>
    <t xml:space="preserve">Group numbers into pairs to create a regular series then solve. This example series resolves to a series -1 + -1 + -1... whose length is half the length of the original series. </t>
  </si>
  <si>
    <t>insipid</t>
  </si>
  <si>
    <t>without flavour; lacking energy</t>
  </si>
  <si>
    <t>vapid</t>
  </si>
  <si>
    <t>without intelligence or interest</t>
  </si>
  <si>
    <t>Sum of complicated series: a1 + a2 + ... + an</t>
  </si>
  <si>
    <t xml:space="preserve">Find pattern from sequence: n = 1, n = 2, n = 3 .... This may betray the answer. </t>
  </si>
  <si>
    <t>Trick series comparison</t>
  </si>
  <si>
    <t>loquacious</t>
  </si>
  <si>
    <t>likely to talk a lot, wordy</t>
  </si>
  <si>
    <t xml:space="preserve">Sometimes there is no clear pattern to series in comparison problems. But the other quantity can be easily compared. Then take the minimum series sum by equaling every number in the series to the minimum number, and the maximum series sum by equaling every number in the series to the maximum number. See whether the compared quantity is in this interval, usually its outside. </t>
  </si>
  <si>
    <t>Smallest non-prime numbers that are not factor of factorial n!</t>
  </si>
  <si>
    <t>verbose</t>
  </si>
  <si>
    <t xml:space="preserve">Take smallest primes larger than n and consider them and their multiples. </t>
  </si>
  <si>
    <t>using more words than needed</t>
  </si>
  <si>
    <t>Divisibility rule of 3</t>
  </si>
  <si>
    <t xml:space="preserve">Add up each digit and does the sum divide by 3? If yes, number is a multiple of 3. </t>
  </si>
  <si>
    <t>voluble</t>
  </si>
  <si>
    <t>talking a lot, speaking smoothly; sharing words fast without stopping</t>
  </si>
  <si>
    <t>Divisibility rule of 4</t>
  </si>
  <si>
    <t xml:space="preserve">Take number formed by last 2 digits (right-most) and does that number divide by 4? (note: ..00 always divides by 4) </t>
  </si>
  <si>
    <t>garrulous</t>
  </si>
  <si>
    <t>talking a lot mostly about unimportant things</t>
  </si>
  <si>
    <t>Divisibility rule of 6</t>
  </si>
  <si>
    <t xml:space="preserve">Combo of 2 and 3 rules, if sum of digits is divisible by 3 and even. </t>
  </si>
  <si>
    <t>misanthropic</t>
  </si>
  <si>
    <t>having a distaste for humans and society</t>
  </si>
  <si>
    <t>Divisibility rule of 8</t>
  </si>
  <si>
    <t xml:space="preserve">Take number formed by last 3 digits (right-most) and does that number divide by 8? (note: ..000 always divides by 8) </t>
  </si>
  <si>
    <t>misnomer</t>
  </si>
  <si>
    <t>inaccurate or misleading name</t>
  </si>
  <si>
    <t>Divisibility rule of 9</t>
  </si>
  <si>
    <t xml:space="preserve">Add up each digit and does the sum divide by 9? If yes, number is a multiple of 9. </t>
  </si>
  <si>
    <t>placate</t>
  </si>
  <si>
    <t>decrease someone's anger or negative emotion</t>
  </si>
  <si>
    <t>Divisibility rule of 11</t>
  </si>
  <si>
    <t xml:space="preserve">Alternate signs for each digit from left to right starting with +. If sum is divisible by 11, it's a multiple of all. </t>
  </si>
  <si>
    <t>mollify</t>
  </si>
  <si>
    <t>decrease someone's anger or upset emotions</t>
  </si>
  <si>
    <t>Test whether a number n is prime</t>
  </si>
  <si>
    <t xml:space="preserve">Divide by prime numbers smaller than sqrt(n). </t>
  </si>
  <si>
    <t>conciliate</t>
  </si>
  <si>
    <t>to decrease someone's anger (especially if its a group)</t>
  </si>
  <si>
    <t>Number of multiples of r in a interval (a, b)</t>
  </si>
  <si>
    <t>Take smallest multiple of r greater than a, a2, and largest multiple of r lesser than b, b2. Formula: (b2 - a2)/r + 1</t>
  </si>
  <si>
    <t>proclivity</t>
  </si>
  <si>
    <t>a fondness or liking for something; tendency towards a certain behaviour</t>
  </si>
  <si>
    <t>Sum of multiples of r in an interval (a, b)</t>
  </si>
  <si>
    <t>Answer is number of terms * average of interval. Take smallest multiple of r greater than a, a2, and largest multiple of r lesser than b, b2. Average: (a2+ b2)/2. Number of terms: (b2 - a2)/r + 1</t>
  </si>
  <si>
    <t>propensity</t>
  </si>
  <si>
    <t>a habit of behaving in a certain way</t>
  </si>
  <si>
    <t>puerile</t>
  </si>
  <si>
    <t>immature, childish</t>
  </si>
  <si>
    <t>Three consecutive integers</t>
  </si>
  <si>
    <t>One must be a multiple of 3, the sum must be a multiple of 3, product must be divisible by 6.</t>
  </si>
  <si>
    <t>quixotic</t>
  </si>
  <si>
    <t>unfeasible, excessively visionary</t>
  </si>
  <si>
    <t>profligate</t>
  </si>
  <si>
    <t>wasting money or time, using it in a careless way</t>
  </si>
  <si>
    <t xml:space="preserve">If the middle number is odd (ie. even x odd x even), the three consecutive integers product is divisible by 8 (and hence 4) as well as 6. </t>
  </si>
  <si>
    <t>taciturn</t>
  </si>
  <si>
    <t>of few words, speaking little, usually in a way that seems unfriendly</t>
  </si>
  <si>
    <t xml:space="preserve">Three consecutive multiples of a number also add up to 3 and product is divible by 3. </t>
  </si>
  <si>
    <t>unforthcoming</t>
  </si>
  <si>
    <t>unwilling to give information, uncooperative</t>
  </si>
  <si>
    <t>Solve problems through algebraic representation. If 3 consecutive integers, n, n + 1, n + 2, if 3 consecutive even numbers, 2n, 2n + 2, 2n + 4, if 3 consecutive odd numbers then 2n + 1, 2n + 3, 2n + 5</t>
  </si>
  <si>
    <t>retiring</t>
  </si>
  <si>
    <t>(about a person) shy or quiet; (about a career) leaving, usually due to old age</t>
  </si>
  <si>
    <t>Divisibility derivation</t>
  </si>
  <si>
    <t>chary</t>
  </si>
  <si>
    <t>cautious, slow to accept to do something</t>
  </si>
  <si>
    <t>If a is divisible by p^m and b is divisible by p^n, ab is divisible by p^(m + n)</t>
  </si>
  <si>
    <t>incongruous</t>
  </si>
  <si>
    <t>strange or out of place, not suitable in a given situation</t>
  </si>
  <si>
    <t>Unit digits from exponents</t>
  </si>
  <si>
    <t>Unit digits in exponents have recurring patterns, memorize the pattern and then figure out how many times the pattern repeated to given number to find the unit digit of given number</t>
  </si>
  <si>
    <t>sycophantic</t>
  </si>
  <si>
    <t>attempting to win favour by flattery</t>
  </si>
  <si>
    <t>Unit digit of exponent sums</t>
  </si>
  <si>
    <t>Unit digit of a sum is just the sum of unit digits of individual terms</t>
  </si>
  <si>
    <t>licentiousness</t>
  </si>
  <si>
    <t>indulgence in sexual pleasure</t>
  </si>
  <si>
    <t>Note: floor of negative numbers</t>
  </si>
  <si>
    <t xml:space="preserve">Floor must always be lower than the number, so the floor of a negative number has a higher absolute value than the absolute value of the number. E.g. floor(-16.7) is -17. </t>
  </si>
  <si>
    <t>dissipation</t>
  </si>
  <si>
    <t>wasteful expenditure; dissolute indulgence in sexual pleasure</t>
  </si>
  <si>
    <t>Quotient and remainder</t>
  </si>
  <si>
    <t xml:space="preserve">Quotient (q) is the whole number part, and remainder (r) is whats left. For any number, a = bq + r, where 0 &lt;= r &lt; b. </t>
  </si>
  <si>
    <t>dissolute</t>
  </si>
  <si>
    <t>loose, relaxed; enfeebled; lax in morals, debauched</t>
  </si>
  <si>
    <t>Quotient and remainder for negative numbers</t>
  </si>
  <si>
    <t xml:space="preserve">For negative numbers, quotient is actually smaller than number, so abs(quotient) for a negative number is 1 + abs(quotient) of its positive equivalent. E.g. -15/9, quotient is -2 not -1. This is because the remainder must be 0 or positive, so the quotient must necessarily be smaller than the number. The remainder in this example is 3.  </t>
  </si>
  <si>
    <t>intemperance</t>
  </si>
  <si>
    <t>excess in action and immoderate indulgence of bodily appetites</t>
  </si>
  <si>
    <t>rakish</t>
  </si>
  <si>
    <t>given to a dissolute life, lewd, debauched</t>
  </si>
  <si>
    <t>lascivious</t>
  </si>
  <si>
    <t>unitdigit(a^b) = unitdigit((unitdigit(a))^b)</t>
  </si>
  <si>
    <t>wanton, rude, lustful</t>
  </si>
  <si>
    <t xml:space="preserve">In other words, the unit digit of a large exponent is the same as the unit digit of the exponents base with the same exponent. </t>
  </si>
  <si>
    <t>laconic</t>
  </si>
  <si>
    <t>Find remainder of large exponent a^b divided by small number n</t>
  </si>
  <si>
    <t>expressing much in few words</t>
  </si>
  <si>
    <t xml:space="preserve">Find pattern of a^1/n, a^2/n, a^3/n etc. There will be a recurring pattern so can use to calculate b. Note that if we get a value larger than the divisor b, we divide that value by b and get the remainder of that to get the real remainder. E.g. if we dividing by 6 and get 7 in the pattern, the answer isn't 7, as it's larger than 6, it's 1. </t>
  </si>
  <si>
    <t>pithy</t>
  </si>
  <si>
    <t>Remainder of sums is sum of remainders</t>
  </si>
  <si>
    <t>brusque</t>
  </si>
  <si>
    <t>Difference between repeating and non-repeating decimals</t>
  </si>
  <si>
    <t xml:space="preserve">Repeating decimals have a pattern that repeats even if it goes to infinity, its a repeating pattern. Can represent by writing a horizontal line over the repeating section of the decimal. Non-repeating decimals are irrational numbers. </t>
  </si>
  <si>
    <t>epigrammatic</t>
  </si>
  <si>
    <t>How to know if a decimal terminates</t>
  </si>
  <si>
    <t xml:space="preserve">If the prime factorization of the denominator in the fraction's most simplified form has only 2 and 5 exponents, it definitely terminates. </t>
  </si>
  <si>
    <t>How to convert repeating decimal to a fraction</t>
  </si>
  <si>
    <t xml:space="preserve">Set x = repeating part. Then move the repeating part ahead of the decimal by multiplying by 10^n, however many n needed. E.g. if x = 0.37repeating, then multiply both sides by 100.  We get 100x = 37.37repeating. Then minus x from both sides so we get 99x = 37.37repeating - x. We know x = 0.37repeating, so 37.37repeating - x = 37. So we get 99x = 37, x = 37/99. </t>
  </si>
  <si>
    <t>circumspect</t>
  </si>
  <si>
    <t>Smallest positive integer to multiply with a/b to result in an integer</t>
  </si>
  <si>
    <t xml:space="preserve">It's b, the denominator, as long as a/b is in its simplified form. </t>
  </si>
  <si>
    <t>renege</t>
  </si>
  <si>
    <t>How to check if root(n) is rational</t>
  </si>
  <si>
    <t xml:space="preserve">If every exponent in the prime factorization of n is divisible by the root number. E.g. 4th root of 24, 24 pf = 2^3.3. Not all of the exponents (3, 1) are divisible by 4, so 24 to the 4th root is not rational. E.g. to check if the square roots of a number are rational, all terms of the prime factorization of the number have to have even exponents. </t>
  </si>
  <si>
    <t>affect (alternate meaning)</t>
  </si>
  <si>
    <t>making a false show of possessing, using, or feeling something</t>
  </si>
  <si>
    <t>Exponent rule: exponent of an exponent.</t>
  </si>
  <si>
    <t>When you have an exponent inside and outside the brackets then multiple the exponents: (a^b)^c = a^(bc).</t>
  </si>
  <si>
    <t>rapacious</t>
  </si>
  <si>
    <t>Exponent rule: multiplied exponents when exponents are the same</t>
  </si>
  <si>
    <t xml:space="preserve">When exponents are the same in 2 multiplied terms, can multiply the bases and keep the same exponent: (a^b)(c^b) = ac^b. </t>
  </si>
  <si>
    <t>indefatigable</t>
  </si>
  <si>
    <t xml:space="preserve">Exponent rule: multiplied exponents when bases are the same. </t>
  </si>
  <si>
    <t>When 2 multiplied exponents have the same base, keep base common and add the exponents: (a^b)(a^c) = a^(b + c).</t>
  </si>
  <si>
    <t>somnolent</t>
  </si>
  <si>
    <t>Exponent rule: division when bases are the same</t>
  </si>
  <si>
    <t>When 2 divided exponents have the same base, keep base common and subtract the exponents: (a^b)/(a^c) = a^(b - c).</t>
  </si>
  <si>
    <t>unflagging</t>
  </si>
  <si>
    <t>Simplifying roots</t>
  </si>
  <si>
    <t>Prime factorize number and see if terms can be taken outside roots. They can be if they are equal or greater exponent than the root (minus if its greater exponent). E.g. cube root(24) = cube root(2^3.3) = 2.cube root(3). sqrt(24) = sqrt(2^3.3) = 2.sqrt(2).sqrt(3) = 2.sqrt(6)</t>
  </si>
  <si>
    <t>soporific</t>
  </si>
  <si>
    <t>For a root like sqrt(2^9), that is the same as sqrt(2^8).sqrt(2) = 2^4.sqrt(2)</t>
  </si>
  <si>
    <t>aggrandize</t>
  </si>
  <si>
    <t xml:space="preserve">Radicals (roots) in denominators </t>
  </si>
  <si>
    <t>Better to take radical out of the denominator by multiplying both sides by the radical to move it into the numerator</t>
  </si>
  <si>
    <t>alacrity</t>
  </si>
  <si>
    <t>Proportions and cross-multiplications of proportions</t>
  </si>
  <si>
    <t>eagerness to do something</t>
  </si>
  <si>
    <t xml:space="preserve">Proportions are when one fraction equals another (usually with one value unknown), can cross-multiply numerators and denominators and make equal to find the unknown value. E.g. a man runs 4 km in 30 mins, how many km can they run 45 mins? Proportion: 4/30 = a/45, (4*45) = 30a, 30a = 180, a = 6 km. </t>
  </si>
  <si>
    <t>equivocal</t>
  </si>
  <si>
    <t>Polynomial degree</t>
  </si>
  <si>
    <t>without a single clear or definite meaning or intention; able to be understood in more than one way</t>
  </si>
  <si>
    <t>For each term in the expression, sum the exponents. The largest sum is the degree. For example, for the polynomial term (2x^2)(4y^3), the degree is 5, the sum of all multiplied exponents in the term.</t>
  </si>
  <si>
    <t>ameliorate</t>
  </si>
  <si>
    <t>Algebraic Identities: Quadratic</t>
  </si>
  <si>
    <t>to make a bad or unpleasant situation, condition, or state better and more tolerable</t>
  </si>
  <si>
    <t>First: a^2 + 2ab + b^2 = (a + b)^2  Second: a^2 - 2ab + b^2 = (a - b)^2  Third: a^2 - b^2 = (a + b)(a - b)</t>
  </si>
  <si>
    <t xml:space="preserve">acquiescent </t>
  </si>
  <si>
    <t>ready to accept, agree, or do what other people want without fighting back or complaining</t>
  </si>
  <si>
    <t>Linear equation</t>
  </si>
  <si>
    <t xml:space="preserve">Polynomial with degree 1. </t>
  </si>
  <si>
    <t>anachronistic</t>
  </si>
  <si>
    <t>of the wrong time or era</t>
  </si>
  <si>
    <t>Requirements for polynomials</t>
  </si>
  <si>
    <t>Can't have negative exponents, can't have absolute values</t>
  </si>
  <si>
    <t>anterior</t>
  </si>
  <si>
    <t>positioned at near the front of a body; earlier in a timeline</t>
  </si>
  <si>
    <t>salutary</t>
  </si>
  <si>
    <t>producing a good result, even if the experience itself is hard or unpleasant</t>
  </si>
  <si>
    <t>Perfect square trinomial to simplify polynomial expressions</t>
  </si>
  <si>
    <t>Look for equations of the form a^2 + 2ab + b^2, which returns (a+b)(a+b), or a^2 - 2ab + b^2, which returns (a-b)(a-b), or a^2 - b^2, which returns (a+b)(a-b).</t>
  </si>
  <si>
    <t>spurious</t>
  </si>
  <si>
    <t>not true, fake</t>
  </si>
  <si>
    <t>Trickiness: even exponent under even radical (root)</t>
  </si>
  <si>
    <t xml:space="preserve">For even exponents under even radicals, we may need to put the absolute value of x after simplifying the exponents. This is because a negative x may not fulfil the simplification requirements. E.g. a is not equal to sqrt(a^2). Only |a| is equal to sqrt(a^2).   </t>
  </si>
  <si>
    <t>banal</t>
  </si>
  <si>
    <t>unoriginal, dull, lacking creativity</t>
  </si>
  <si>
    <t>Instead of radicals, represent roots as fraction exponents to solve problems</t>
  </si>
  <si>
    <t>brazen</t>
  </si>
  <si>
    <t>This may make it easier to notice shortcuts e.g. sqrt(12)/sqrt(3) may not be obvious, but represented as 12^0.5/3^0.5 makes it easy to understand it's the same as (12/3)^0.5 = 4^0.5 = 2.</t>
  </si>
  <si>
    <t>shameless, excessively forward</t>
  </si>
  <si>
    <t>calumny</t>
  </si>
  <si>
    <t>slander, defamation</t>
  </si>
  <si>
    <t>When simplifying algebraic expressions, calculate the domain pre-simplification</t>
  </si>
  <si>
    <t xml:space="preserve">E.g. an expression with (x + 5)(x - 5) in the denominator. During simplification, we cancelled out the (x - 5). Looking at the simplified result, we can see (x + 5) in the denominator so we can say -5 is not in the domain, as it would make the denominator 0. But we also need to say 5 is not in the domain, because it would also have made the denominator 0. We are assuming x is not equal to 5 when we cancel out the denominator and numerator (as when we cancel, we are effectively dividing by (x - 5). </t>
  </si>
  <si>
    <t>candid</t>
  </si>
  <si>
    <t>honest, without deception</t>
  </si>
  <si>
    <t>lambast</t>
  </si>
  <si>
    <t>criticize someone or something severely, angrily, or brutally</t>
  </si>
  <si>
    <t>Absolute value equations should be split into 2 equations</t>
  </si>
  <si>
    <t xml:space="preserve">First, simplify the equation to the form |expression1| = expression2. Then split into two equations one where expression1 = expression2 and one where expression1 = -expression2. In other words, the second equation makes negative the non-absolute value part of the initial equation. E.g. |4x + 9| = 21 should be split into 4x + 9 = 21 and 4x + 9 = -21. </t>
  </si>
  <si>
    <t>caustic</t>
  </si>
  <si>
    <t>hostile and bitter speech; corrosive, acidic</t>
  </si>
  <si>
    <t>How many solutions does a quadratic equation have?</t>
  </si>
  <si>
    <t xml:space="preserve">Check the discriminant (b^2 - 4ac). If it's positive: 2 solutions, 0: 1 solution, negative: 0 solutions. </t>
  </si>
  <si>
    <t>mordant</t>
  </si>
  <si>
    <t>something sharp, biting, or caustic in thought, manner, or style</t>
  </si>
  <si>
    <t>Completing the square</t>
  </si>
  <si>
    <t>For imperfect quadratics, instead of 0 = quadratic, add a number to both sides to make a perfect square + c. Perfect square is square of b/2. E.g. 0 = x^2 - 4x - 6. Perfect square c value for x^2 - 4x is 4 so add 4 to both sides. 4 = x^2 - 4x + 4 - 6, 4 = (x - 2)(x - 2) - 6. Then subtract the 4. 0 = (x - 2)(x - 2) - 10.</t>
  </si>
  <si>
    <t>construe</t>
  </si>
  <si>
    <t>understand something subjectively</t>
  </si>
  <si>
    <t>Inequality rule</t>
  </si>
  <si>
    <t xml:space="preserve">Flip the inequality sign when multiplying or dividing both sides by a negative number. </t>
  </si>
  <si>
    <t>contrite</t>
  </si>
  <si>
    <t>feeling regretful or guilty</t>
  </si>
  <si>
    <t>Subtracting inequalities</t>
  </si>
  <si>
    <t xml:space="preserve">Inequalities can be subtracted from one other when they have different signs. The result keeps the sign from the top inequality. E.g. a and b are 2 inequalities. a - b results in an equality that maintains the sign from a. </t>
  </si>
  <si>
    <t>serpentine</t>
  </si>
  <si>
    <t>shaped like a snake; confusing; (related to behaviour) cunning or indirect</t>
  </si>
  <si>
    <t>Absolute values and inequalities</t>
  </si>
  <si>
    <t xml:space="preserve">Same rule as absolute value equations. Keep the side with the absolute value on the left side and the rest on the right side. Then the 2 equations are one with the standard RHS and one with negative RHS. When doing the negative RHS, the inequality sign flips. </t>
  </si>
  <si>
    <t>sinuous</t>
  </si>
  <si>
    <t>having many curves, turns. Often describes winding river or smooth movements of a dancer or snake</t>
  </si>
  <si>
    <t>circuitous</t>
  </si>
  <si>
    <t>long-winding or indirect (often refers paths or speech)</t>
  </si>
  <si>
    <t>Inequality scope confusion</t>
  </si>
  <si>
    <t xml:space="preserve">When we have 2 inequalities eg. (x + 3)(x - 2) &gt; 0, this leads to 2 x-values -3 and 2, but the signs are not intuitive. Test a value less than the smaller x, a value between the 2 x values, and a value greater than the larger x to find the range. </t>
  </si>
  <si>
    <t>undulating</t>
  </si>
  <si>
    <t>moving or shaping in a smooth, wavelike pattern with gentle rises and falls</t>
  </si>
  <si>
    <t>Function that has expression in input</t>
  </si>
  <si>
    <t xml:space="preserve">Solve for the LHS expression first. E.g. f(x + 3) = x^2 + x, question asks what is f(7) If f(7), then x +3 = 7, x = 4. Right side solve using x = 4 ie. 4^2 + 4 = 20. </t>
  </si>
  <si>
    <t>flexuous</t>
  </si>
  <si>
    <t>full of bends, curves, or turns, or moving in a-waving, fluid way</t>
  </si>
  <si>
    <t>Function that references itself in output</t>
  </si>
  <si>
    <t>snaky</t>
  </si>
  <si>
    <t xml:space="preserve">Find the relationship that lets you solve for different inputs. E.g. f(x + 1) = 10f(x). If f(3) = 5, what is f(6)? This states that input of (x + 1) is 10x output of f(x). So if f(3) = 5 then f(4) = 50, f(5) = 500, f(6) = 5000. </t>
  </si>
  <si>
    <t>looking like a snake, moving in twists and turns; acting sneaky or untrustworthy</t>
  </si>
  <si>
    <t>byzantine</t>
  </si>
  <si>
    <t>extremely complex, intricate, and often characterized by secret plot or hidden trickery</t>
  </si>
  <si>
    <t>How to find range of function</t>
  </si>
  <si>
    <t xml:space="preserve">To find range of function f(x) set it equal to y then rearrange to solve for x (ie. function becomes x in terms of y). The domain of this new function in terms of y is the range of the original function which was in terms of x. E.g. y = (3 - x)/(x -2) can be solved for x to give x = (3 + 2y)/(y + 1). The domain of this function is any y except -1 so that is the range of the original function. </t>
  </si>
  <si>
    <t>labyrinthine</t>
  </si>
  <si>
    <t>something resembling a labyrinth or maze</t>
  </si>
  <si>
    <t>Even functions</t>
  </si>
  <si>
    <t xml:space="preserve">A function is even if f(-x) = f(x). This happens when all exponents of x are even. </t>
  </si>
  <si>
    <t>deft</t>
  </si>
  <si>
    <t>highly proficient, skilled (usually accompanied by masterful speed)</t>
  </si>
  <si>
    <t>Odd functions</t>
  </si>
  <si>
    <t xml:space="preserve">A function is odd if f(-x) = -f(x). This happens when all exponents of x are odd. </t>
  </si>
  <si>
    <t>demur</t>
  </si>
  <si>
    <t>hesitate or object; express doubt</t>
  </si>
  <si>
    <t>cavil</t>
  </si>
  <si>
    <t>make petty, unnecessary, or trivial objections and complaints over things that do not matter</t>
  </si>
  <si>
    <t>Mixture problems: Find % of important substance in final mixture</t>
  </si>
  <si>
    <t>Mixture A: a% of important substance, x litres. Mixture B: b% of important substance, y litres. Final mixture is thus (ax + by)/(x + y)</t>
  </si>
  <si>
    <t>trite</t>
  </si>
  <si>
    <t>a remark, opinion, or idea that is boring, unoriginal, and lacking in freshness</t>
  </si>
  <si>
    <t>hackneyed</t>
  </si>
  <si>
    <t>a phrase, idea, or plot that has been used so often it is now boring, dull, and lacking any real meaning</t>
  </si>
  <si>
    <t xml:space="preserve">The mixture trick: finding ratio of 2 mixtures </t>
  </si>
  <si>
    <t>When we have mixture A with x% of important substance, and mixture B with y% of important substance. Required % in final substance: z. Put in terms of ratio abs(z - x):abs(z - y)</t>
  </si>
  <si>
    <t>desiccate</t>
  </si>
  <si>
    <t>dry out, remove all moisture</t>
  </si>
  <si>
    <t>diatribe</t>
  </si>
  <si>
    <t>an angry rant; verbal abuse</t>
  </si>
  <si>
    <t>Speed and time formulas.</t>
  </si>
  <si>
    <t xml:space="preserve">Speed * Time to give important metric, usually Distance or Work. w = rt. </t>
  </si>
  <si>
    <t>Relative speeds</t>
  </si>
  <si>
    <t>tirade</t>
  </si>
  <si>
    <t>a long, angry speech that expresses strong blame, fierce criticism, or deep disapproval</t>
  </si>
  <si>
    <t xml:space="preserve">Look for ways to combine speeds. For example, when describing two cars moving in opposite directions, their speeds can be added, as they are both contributing to increasing the distance between each other. When describing two cars moving in the same direction, their speeds can be subtracted, as distance only increases according to the difference in speed. </t>
  </si>
  <si>
    <t>harangue</t>
  </si>
  <si>
    <t>a long, loud, and angry speech or lecture meant to criticize someone or strongly push a point of view</t>
  </si>
  <si>
    <t xml:space="preserve">Intercept signs </t>
  </si>
  <si>
    <t xml:space="preserve">Positive and negative slope lines that pass through origin, both intercepts are 0. Slope = 0 lines only have one intercept on the y-axis and it can be anywhere on the y-axis. Positive slope lines that don't pass through origin, one intercept has to be positive and one negative, so the product of the intercepts has to be negative. Negative slope lines that don't pass through origin, either both intercepts have to be positive or both intercepts have to be negative, so the product of the intercepts has to be positive. </t>
  </si>
  <si>
    <t>incredulous</t>
  </si>
  <si>
    <t>doubtful, disbelieving</t>
  </si>
  <si>
    <t xml:space="preserve">Reflecting point on axes/origin. </t>
  </si>
  <si>
    <t xml:space="preserve">When reflecting on an axis, flip the sign of the other axis's coordinate. E.g. (2, 3) reflected on x-axis returns (2, -3). When reflecting on the origin, flip both coordinate signs. E.g. (2, 3) reflected on the origin returns (-2, -3). </t>
  </si>
  <si>
    <t>ingenuous</t>
  </si>
  <si>
    <t>innocent, trusting, straightforward; naive and lacking experience</t>
  </si>
  <si>
    <t>Reflecting point (x, y) on line x = k.</t>
  </si>
  <si>
    <t>x value changes by 2k, y value stays constant. New point: (2k - x, y)</t>
  </si>
  <si>
    <t>chagrin</t>
  </si>
  <si>
    <t>a feeling of annoyance, embarrassment, or disappointment caused by a mistake, or unexpected setback</t>
  </si>
  <si>
    <t>candor</t>
  </si>
  <si>
    <t>(noun of candid) the quality of being open, sincere in speech</t>
  </si>
  <si>
    <t xml:space="preserve">Reflecting point (x, y) on line y = k. </t>
  </si>
  <si>
    <t>y value changes by 2k, x value stays constant. New point: (x, 2k - y)</t>
  </si>
  <si>
    <t>frenetic</t>
  </si>
  <si>
    <t>activity that is fast and energetic but characterized by disorder, chaos, or anxiety</t>
  </si>
  <si>
    <t>Reflecting point (x, y) on line y = x.</t>
  </si>
  <si>
    <t>Flip y and x. New point: (y, x).</t>
  </si>
  <si>
    <t>perquisites</t>
  </si>
  <si>
    <t>incidental benefits, privileges, or profits received in addition to regular salary</t>
  </si>
  <si>
    <t>unduly</t>
  </si>
  <si>
    <t>Graphing perfect square quadratics</t>
  </si>
  <si>
    <t>adverb meaning in an excessive, unwarranted, or inappropriate manner</t>
  </si>
  <si>
    <t xml:space="preserve">One root, the maxima/minima is at the x-intercept point. </t>
  </si>
  <si>
    <t>predilection</t>
  </si>
  <si>
    <t>strong liking, preference, or predisposition for something</t>
  </si>
  <si>
    <t xml:space="preserve">Shifting parabola rules: y = (x - h)^2 </t>
  </si>
  <si>
    <t>Shift h right</t>
  </si>
  <si>
    <t>terse</t>
  </si>
  <si>
    <t>Shifting parabola rules: y = (x+ h)^2</t>
  </si>
  <si>
    <t>Shift h left</t>
  </si>
  <si>
    <t>venal</t>
  </si>
  <si>
    <t>Shifting parabola rules: y = x^2 + k</t>
  </si>
  <si>
    <t>Shift k up</t>
  </si>
  <si>
    <t>abjure</t>
  </si>
  <si>
    <t>Shifting parabola rules: y = x^2 - k</t>
  </si>
  <si>
    <t>Shift k down</t>
  </si>
  <si>
    <t>recant</t>
  </si>
  <si>
    <t>aberrant</t>
  </si>
  <si>
    <t>Rotating point (x, y) about origin: 90 degrees anti-clockwise</t>
  </si>
  <si>
    <t>New point: (-y, x)</t>
  </si>
  <si>
    <t>antipathy</t>
  </si>
  <si>
    <t>arcane</t>
  </si>
  <si>
    <t>Rotating point (x, y) about origin: 90 degrees clockwise</t>
  </si>
  <si>
    <t>New point: (y, -x)</t>
  </si>
  <si>
    <t>esoteric</t>
  </si>
  <si>
    <t>Rotating point (x, y) about origin: 180 degrees</t>
  </si>
  <si>
    <t>abstruse</t>
  </si>
  <si>
    <t>New point: (-x, -y)</t>
  </si>
  <si>
    <t>recondite</t>
  </si>
  <si>
    <t>Graphing quadratics by completing the square</t>
  </si>
  <si>
    <t xml:space="preserve">Can find the perfect square equivalent graph yes and move it according to the constant (y-intercept moves from 0 to whatever the constant part is on top of the perfect square). </t>
  </si>
  <si>
    <t>onerous</t>
  </si>
  <si>
    <t>Circle equations</t>
  </si>
  <si>
    <t xml:space="preserve">r = radius. (h, k) = coordinates of circle center. r^2 = (x - h)^2 + (y - k)^2 </t>
  </si>
  <si>
    <t>artless</t>
  </si>
  <si>
    <t>free from deceit, guile, or artfulness; natural and sincere; naive and simple; lacking skill</t>
  </si>
  <si>
    <t>How to know if equation makes a circle</t>
  </si>
  <si>
    <t xml:space="preserve">We know a equation is of a ellipse if there is a form of x^2 + y^2 in there somewhere. It's a circle if the coefficient of x^2 and y^2 is equal. </t>
  </si>
  <si>
    <t>guile</t>
  </si>
  <si>
    <t>Slope of perpendicular lines</t>
  </si>
  <si>
    <t>Slopes of perpendicular lines are inverse and negative of each other. E.g. lines a and b are perpendicular. Slope of a = m. Slope of b = -1/m.</t>
  </si>
  <si>
    <t>Sum of interior angles of a polygon with no of sides n</t>
  </si>
  <si>
    <t>(n - 2) * 180</t>
  </si>
  <si>
    <t>Sum of exterior angles of any polygon</t>
  </si>
  <si>
    <t>Its always 360</t>
  </si>
  <si>
    <t>assuage</t>
  </si>
  <si>
    <t>make an unpleasant feeling less severe; fulfill a certain desire</t>
  </si>
  <si>
    <t>Regular polygons</t>
  </si>
  <si>
    <t>Polygons where all angles are the same</t>
  </si>
  <si>
    <t>allay</t>
  </si>
  <si>
    <t>dour</t>
  </si>
  <si>
    <t>Relationship between angles and side length</t>
  </si>
  <si>
    <t>austere</t>
  </si>
  <si>
    <t xml:space="preserve">Angles and opposite side lengths are related. If triangle with angles a, b, c has opposite sides A, B, C, and a &gt; b &gt; c, then A &gt; B &gt; C. </t>
  </si>
  <si>
    <t>severe or strict in manner; simple and without luxury or decoration</t>
  </si>
  <si>
    <t>abstemious</t>
  </si>
  <si>
    <t>Triangle Inequality</t>
  </si>
  <si>
    <t>The sum of any two sides must be greater than the 3rd side</t>
  </si>
  <si>
    <t>cranial</t>
  </si>
  <si>
    <t>cortical</t>
  </si>
  <si>
    <t>When are 3 triangles congruent</t>
  </si>
  <si>
    <t>When at least one of the following are similar: 1) SSS: 3 sides, 2) SAS: side-angle-side, 3) ASA: angle-side-angle, 4) AAS: angle-angle-side</t>
  </si>
  <si>
    <t>cephalic</t>
  </si>
  <si>
    <t>30-60-90 triangles (ie. the 3 angles are 30, 60, 90)</t>
  </si>
  <si>
    <t>There is a specific relationship between the sides: Shortest side is x, Hypotenuse is 2x, and 2nd longest side is x*sqrt(3)</t>
  </si>
  <si>
    <t>cortex</t>
  </si>
  <si>
    <t>45-45-90 trianges (isosceles right triangles)</t>
  </si>
  <si>
    <t>Base and height are both x so hypotenuse is sqrt(2x^2) = sqrt(2).x</t>
  </si>
  <si>
    <t>pallium</t>
  </si>
  <si>
    <t>Look to split triangles up into 30-60-90 and 45-45-90 to solve</t>
  </si>
  <si>
    <t xml:space="preserve">E.g. a triangle with angles 30, 105, 45, one side given. The 105 can be split into 45 and 60 with a perpendicular line in the middle, and suddenly we have 2 triangles one 30-60-90 and one 45-45-90 and its solvable by combining their areas. </t>
  </si>
  <si>
    <t>cerebrum</t>
  </si>
  <si>
    <t>Similar triangles (AAA)</t>
  </si>
  <si>
    <t xml:space="preserve">Sides and height are proportional to each other. Can cross-multiply to solve. </t>
  </si>
  <si>
    <t>lionize</t>
  </si>
  <si>
    <t>Complementary and supplementary angles</t>
  </si>
  <si>
    <t xml:space="preserve">Complementary angles: add up to 90 degrees. Supplementary angles: add up to 180 degrees. </t>
  </si>
  <si>
    <t>Common pythagorean triplets (remember: all multiples are triplets too)</t>
  </si>
  <si>
    <t>3-4-5, 5-12-13, 8-15-17, 7-24-25</t>
  </si>
  <si>
    <t>pedagogic</t>
  </si>
  <si>
    <t>Types of quadrilaterals: parallelogram, rhombus, rectangle, square, trapezoid</t>
  </si>
  <si>
    <t xml:space="preserve">Parallelogram: 2 pairs of parallel lines. Rhobus: parallelogram where all 4 sides of equal length. Rectangle: parallelogram where all angles are 90. Square: rhombus + rectangle. Trapezoid: only one pair of parallel lines. </t>
  </si>
  <si>
    <t>promulgate</t>
  </si>
  <si>
    <t>Trapezoid rule</t>
  </si>
  <si>
    <t xml:space="preserve">All 4 angles and all 4 side lengths can be unique. Only rule is that the angles on the same side add up to 180 (derived from parallel line rule). </t>
  </si>
  <si>
    <t>expedient</t>
  </si>
  <si>
    <t>Area of equilateral triangle with side length s</t>
  </si>
  <si>
    <t>(sqrt(3).s^2)/4</t>
  </si>
  <si>
    <t>politic</t>
  </si>
  <si>
    <t>Area of parallelogram</t>
  </si>
  <si>
    <t>contravene</t>
  </si>
  <si>
    <t>base*height</t>
  </si>
  <si>
    <t>remiss</t>
  </si>
  <si>
    <t>Area of trapezoid</t>
  </si>
  <si>
    <t>((base1 + base2)/2)*h</t>
  </si>
  <si>
    <t>unctuous</t>
  </si>
  <si>
    <t>Area of a regular polygon with number of sides n</t>
  </si>
  <si>
    <t xml:space="preserve">s = side length. a = apothem. Apothem is the distance from the center to the middle of a side (e.g. the height of a equilateral triangle). Area = (nsa)/2. </t>
  </si>
  <si>
    <t>ingratiating</t>
  </si>
  <si>
    <t>inane</t>
  </si>
  <si>
    <t>Comparing area of two shapes with same sides same perimeter</t>
  </si>
  <si>
    <t xml:space="preserve">With perimeter and number of sides constant, the closer the polygon is to regular, the greater the area. </t>
  </si>
  <si>
    <t>prodigal</t>
  </si>
  <si>
    <t>Inscribed and circumscribed shapes</t>
  </si>
  <si>
    <t>Inscribed is inside, circumscribed is outside. In both cases all vertices of the inner shape must touch the outer shape</t>
  </si>
  <si>
    <t>debase</t>
  </si>
  <si>
    <t xml:space="preserve">The regular hexagon with side length s inscribed in a circle with radius r rule </t>
  </si>
  <si>
    <t>vacillating</t>
  </si>
  <si>
    <t>s = r. Note that for regular polygons with less sides, s &gt; r, and for regular polygons with more sides s &lt; r.</t>
  </si>
  <si>
    <t>impudent</t>
  </si>
  <si>
    <t>Relationship between perimeter and area and regular shapes</t>
  </si>
  <si>
    <t>For a given perimeter, the maximum area is possible if the shape is regular. The less regular the shape, the lower the area gets.</t>
  </si>
  <si>
    <t>impertinent</t>
  </si>
  <si>
    <t>Volume and surface area of a cylinder</t>
  </si>
  <si>
    <t>platitudinous</t>
  </si>
  <si>
    <t>Volume = pi.r^2.h. Surface area = area of 2 circular ends + lateral surface area (area of the rectangle in between) = 2.pi.r^2 + 2.pi.r.h.</t>
  </si>
  <si>
    <t>obloquy</t>
  </si>
  <si>
    <t>Relationship between volume and surface area and regular shapes</t>
  </si>
  <si>
    <t>For a given volume, the minimum surface area is possible if the shape is regular. The more elongated the shape gets, the surface area increases for the same volume.</t>
  </si>
  <si>
    <t>denigration</t>
  </si>
  <si>
    <t>Longest diagonal</t>
  </si>
  <si>
    <t xml:space="preserve">Diagonal that takes the 2 furthest points in a shape. Both the width and the depth are "diagonalled". </t>
  </si>
  <si>
    <t>vituperation</t>
  </si>
  <si>
    <t>Longest diagonal of a rectangular solid</t>
  </si>
  <si>
    <t>Longest diagonal = sqrt(length^2 + width^2 + depth^2).</t>
  </si>
  <si>
    <t>invective</t>
  </si>
  <si>
    <t>Trick related to shapes stacking in other shapes</t>
  </si>
  <si>
    <t>If one shape perfectly stacks into another (all integers when divided), we can just do (bigger volume)/(smaller volume). That's fine. But if they don't perfectly stack, we can't do that division. We need to find how many fit length-wise, width-wise, and depth-wise, then calculate the number that way.</t>
  </si>
  <si>
    <t>rue</t>
  </si>
  <si>
    <t>Finding the median of a symmetrical sequence</t>
  </si>
  <si>
    <t xml:space="preserve">(Last number + First number)/2. Can be used to find the median of multiples in a range. </t>
  </si>
  <si>
    <t>hanker</t>
  </si>
  <si>
    <t>lily-livered</t>
  </si>
  <si>
    <t>Measures of positions of sequences</t>
  </si>
  <si>
    <t xml:space="preserve">When we divide a sequence into measures of position, such as quartiles, the elements that are equal to the quartile values e.g. Q1, Q2, Q3, are not part of any quartile. Similar for other measures of position. </t>
  </si>
  <si>
    <t>deportment</t>
  </si>
  <si>
    <t>Variance</t>
  </si>
  <si>
    <t xml:space="preserve">Sum of the square of the difference of each term from the mean, divided by the number of terms. </t>
  </si>
  <si>
    <t>carriage</t>
  </si>
  <si>
    <t>Standard deviation</t>
  </si>
  <si>
    <t>adriot</t>
  </si>
  <si>
    <t>Square root of variance. Can be done step wise: 1) Find mean, 2) Create new sequence of difference of each term and mean, 3) Square the differences, 3) Sum the squared differences, 4) Divide by N (number of terms), 5) Square root for sd.</t>
  </si>
  <si>
    <t>carp</t>
  </si>
  <si>
    <t>Population vs Sample standard deviation</t>
  </si>
  <si>
    <t xml:space="preserve">For population sd, we divide by N, number of terms. For sample sd, we divide by (N - 1). </t>
  </si>
  <si>
    <t>callow</t>
  </si>
  <si>
    <t>How standard deviation changes with sequence transformations</t>
  </si>
  <si>
    <t xml:space="preserve">Sequence transformation = a transformation applied to every term in the sequence. Add/subtract = no change in sd. Multiply/divide = multiply/divide sd by that number too. </t>
  </si>
  <si>
    <t>palliate</t>
  </si>
  <si>
    <t>Standardization of a sequence</t>
  </si>
  <si>
    <t xml:space="preserve">Change the sequence so the mean is 0 and every value is replaced by number of standard deviations from the mean. Practically, 2 steps: 1) Subtract the mean from every number. 2) Divide each value by the standard deviation. E.g. the sequence 2, 8 gets standardized to -1, 1. </t>
  </si>
  <si>
    <t>bucolic</t>
  </si>
  <si>
    <t>Sets vs Lists</t>
  </si>
  <si>
    <t>pastoral</t>
  </si>
  <si>
    <t xml:space="preserve">Sets: order doesn't matter, no duplicates, can be infinite. Number of elements is |S| and values shown as {...} Lists: order matters, duplicates included, finite only. </t>
  </si>
  <si>
    <t>idyllic</t>
  </si>
  <si>
    <t>Inclusion-Exclusion principle</t>
  </si>
  <si>
    <t>Union(A, B) = A + B - Intersect(A, B)</t>
  </si>
  <si>
    <t>rustic</t>
  </si>
  <si>
    <t>Inclusion-Exclusion principle for 3 sets</t>
  </si>
  <si>
    <t xml:space="preserve">Union(A, B, C) = A + B + C - Intersect(A, B) - Intersect(B, C) - Intersect(A, C) - 2*Intersect(A, B, C). Note that the intersect of all 3 is minused twice. </t>
  </si>
  <si>
    <t>burgeon</t>
  </si>
  <si>
    <t>Multiplication method for choice in combos</t>
  </si>
  <si>
    <t>If we need a combination of A and B with a options of choice A and b options of choice B then the number of total options is ab.</t>
  </si>
  <si>
    <t>mushroom</t>
  </si>
  <si>
    <t>When to add in permutations/combinations and when to multiply?</t>
  </si>
  <si>
    <t>cacophonous</t>
  </si>
  <si>
    <t xml:space="preserve">In OR situations, when we have this or this happening (but not both), we add their possibilities to find total possibilities. In AND situations, when both this and this need to happen, that's when we multiply. </t>
  </si>
  <si>
    <t>discordant</t>
  </si>
  <si>
    <t>Optional choice in combos</t>
  </si>
  <si>
    <t>E.g. how many icecream/topping combinations with 4 flavours of ice cream and 4 optional toppings? Set up a choice scenario for each topping. So number of options = number of flavours * options for topping 1 * options for topping 2... = 4 * 2 * 2 * 2 * 2 = 64.</t>
  </si>
  <si>
    <t>canonize</t>
  </si>
  <si>
    <t>officially declare a deceased person to be a saint, treat like a god</t>
  </si>
  <si>
    <t>beatify</t>
  </si>
  <si>
    <t>What if at least one optional topping is compulsory? Then, remove the case where no toppings are chosen. I.e. 64 - (4 * 1 * 1 * 1 * 1) = 64 - 4 = 60.</t>
  </si>
  <si>
    <t>venerate</t>
  </si>
  <si>
    <t>Number of correct combinations pick r out of n options</t>
  </si>
  <si>
    <t>n!/(r!(n - r)!)</t>
  </si>
  <si>
    <t>censure</t>
  </si>
  <si>
    <t>Number of correct permutations (order matters) pick r out of n</t>
  </si>
  <si>
    <t>n!/(n - r)!</t>
  </si>
  <si>
    <t>chicanery</t>
  </si>
  <si>
    <t>Permutations using the multiplication method</t>
  </si>
  <si>
    <t xml:space="preserve">Can find permutations by using multiplication without repeat. E.g. how many ways to rearrange abcde? 5 * 4 * 3 * 2 * 1 = 120. Equivalent to formula solution, n = 5, r = 5: 5!/(5 - 5)! = 5!/0! = 5!/1 = 5! = 120. </t>
  </si>
  <si>
    <t>skulduggery</t>
  </si>
  <si>
    <t>Permutations with restrictions</t>
  </si>
  <si>
    <t>Use multiplication method, if needed create different multiplications for each restriction option, then add them together if they are separate full options, or multiply them together if they are composite parts of a full option.</t>
  </si>
  <si>
    <t>amalgamate</t>
  </si>
  <si>
    <t>Permutations with repeats, n slots, a and b repeats.</t>
  </si>
  <si>
    <t>cogent</t>
  </si>
  <si>
    <t xml:space="preserve">n!/(a!b!). E.g. how many ways to rearrange banana? n = 6. a repeated = 3. n repeated = 2. Ans = 6!/(3!2!) = 60.  </t>
  </si>
  <si>
    <t>myriad</t>
  </si>
  <si>
    <t>Permutations with repeats with restrictions</t>
  </si>
  <si>
    <t xml:space="preserve">With restrictions, split into different calculations as per the restrictions. Then add together if each calculation is a full option, or multiple together if every calculation adds up to a full option. E.g. how many ways can the letters in TEXTBOOK be arranged if all vowels must be first and all consonants at the end? Vowels = E00 = 3!/2! = 3. Consonants = TXTBK = 5!/2! = 60. Total permutations = vowel options * consonant options = 60 * 3 = 180. </t>
  </si>
  <si>
    <t>deference</t>
  </si>
  <si>
    <t>Combinatorics Problems</t>
  </si>
  <si>
    <t>Convert problems into permutation/combination problems by writing them in terms of number of options/number of choices or repeats.</t>
  </si>
  <si>
    <t>diffident</t>
  </si>
  <si>
    <t>Permutations in a circle with n options</t>
  </si>
  <si>
    <t>Instead of n! do (n - 1)!. E.g. normal how many ways can 5 people sit in a row? Ans is 5!. But if they were arranged in a circle? Then several of the row permutations become equivalent, as circles have no start points or end points. Number of possible permutations: (5 - 1)!</t>
  </si>
  <si>
    <t>indolent</t>
  </si>
  <si>
    <t>Highest possible combinations given n options and r choices</t>
  </si>
  <si>
    <t xml:space="preserve">Number of possible combinations is highest when number of choices is half the number of options, ie. when r = n/2. So if n is odd, there will be 2 r around the middle that have the highest possible combinations. </t>
  </si>
  <si>
    <t>equivocate</t>
  </si>
  <si>
    <t>prevaricate</t>
  </si>
  <si>
    <t xml:space="preserve">P(A n B): Intersect aka probability both A and B occur </t>
  </si>
  <si>
    <t xml:space="preserve">P(A) * P(B). </t>
  </si>
  <si>
    <t>dichotomize</t>
  </si>
  <si>
    <t>P(A u B): Union aka probability at least one of A or B occur</t>
  </si>
  <si>
    <t>P(A) + P(B) - P(A n B)</t>
  </si>
  <si>
    <t>improvedent</t>
  </si>
  <si>
    <t>Independent events and mutually exclusive events</t>
  </si>
  <si>
    <t xml:space="preserve">If an event is independent, P(AnB) = P(A) * P(B). If an event is mutually exclusive, P(AnB) = 0. Note that this means for mutually exclusive events P(A) + P(B) &lt;= 1, because if the 2 probabilities sum to greater than 1, there must be some overlap. </t>
  </si>
  <si>
    <t>wastrel</t>
  </si>
  <si>
    <t>Conditional probability P(A | B)</t>
  </si>
  <si>
    <t>P(A | B) = P(AnB)/P(B)</t>
  </si>
  <si>
    <t>pillory</t>
  </si>
  <si>
    <t>obeisance</t>
  </si>
  <si>
    <t>Memorize standard deviation probability under normal distribution (should be able to draw given chart from memory)</t>
  </si>
  <si>
    <t xml:space="preserve">In the normal distribution, within 1 standard deviation from the mean we have 68% of values (34% each side), from 1-2 standard deviations we have 28% of values (14% each side), and greater than 2 standard deviations is 4% (2% each side). </t>
  </si>
  <si>
    <t>desultory</t>
  </si>
  <si>
    <t>In other words, within one standard deviation there are 68% of values, within 2 standard deviations there are 96% of values</t>
  </si>
  <si>
    <t>effacing</t>
  </si>
  <si>
    <t>approbation</t>
  </si>
  <si>
    <t>enervate</t>
  </si>
  <si>
    <t>ephemeral</t>
  </si>
  <si>
    <t>incendiary</t>
  </si>
  <si>
    <t>inimical</t>
  </si>
  <si>
    <t>intimate</t>
  </si>
  <si>
    <t>closely acquainted, familiar, or private; subtly suggest or imply</t>
  </si>
  <si>
    <t>familiar, confidential, insinuate</t>
  </si>
  <si>
    <t>paradigmatic</t>
  </si>
  <si>
    <t>pedantic</t>
  </si>
  <si>
    <t>placid</t>
  </si>
  <si>
    <t>polemical</t>
  </si>
  <si>
    <t>precipitate</t>
  </si>
  <si>
    <t>cause something to happen; rushed sudden; (chemistry) something produced in a chemical reaction</t>
  </si>
  <si>
    <t>profundity</t>
  </si>
  <si>
    <t>prognostic</t>
  </si>
  <si>
    <t>portent</t>
  </si>
  <si>
    <t>augury</t>
  </si>
  <si>
    <t>judicious</t>
  </si>
  <si>
    <t>punctilious</t>
  </si>
  <si>
    <t>Jiro from Jiro Dreams of Sushi</t>
  </si>
  <si>
    <t>scrupulous</t>
  </si>
  <si>
    <t>reposeful</t>
  </si>
  <si>
    <t>repose</t>
  </si>
  <si>
    <t>vacillate</t>
  </si>
  <si>
    <t>sagacity</t>
  </si>
  <si>
    <t>acuity</t>
  </si>
  <si>
    <t>imperious</t>
  </si>
  <si>
    <t>conceited</t>
  </si>
  <si>
    <t>aloof</t>
  </si>
  <si>
    <t>clangor</t>
  </si>
  <si>
    <t>patent</t>
  </si>
  <si>
    <t>facetious</t>
  </si>
  <si>
    <t>jocular</t>
  </si>
  <si>
    <t>jocose</t>
  </si>
  <si>
    <t>sundry</t>
  </si>
  <si>
    <t xml:space="preserve">concilatory </t>
  </si>
  <si>
    <t>pernicious</t>
  </si>
  <si>
    <t>deleterious</t>
  </si>
  <si>
    <t>vivify</t>
  </si>
  <si>
    <t>attenuate</t>
  </si>
  <si>
    <t>fastidious</t>
  </si>
  <si>
    <t>exacting</t>
  </si>
  <si>
    <t>percipience</t>
  </si>
  <si>
    <t>prescient</t>
  </si>
  <si>
    <t>confute</t>
  </si>
  <si>
    <t>controvert</t>
  </si>
  <si>
    <t>pedestrian</t>
  </si>
  <si>
    <t>scrutable</t>
  </si>
  <si>
    <t>fatuous</t>
  </si>
  <si>
    <t>zany</t>
  </si>
  <si>
    <t>asinine</t>
  </si>
  <si>
    <t>motley</t>
  </si>
  <si>
    <t>peremptory</t>
  </si>
  <si>
    <t>officious</t>
  </si>
  <si>
    <t>inapposite</t>
  </si>
  <si>
    <t>pervasive</t>
  </si>
  <si>
    <t>laudable</t>
  </si>
  <si>
    <t>meritorious</t>
  </si>
  <si>
    <t>estimable</t>
  </si>
  <si>
    <t>slipshod</t>
  </si>
  <si>
    <t>slapdash</t>
  </si>
  <si>
    <t>palliative</t>
  </si>
  <si>
    <t>anodyne</t>
  </si>
  <si>
    <t>analgesic</t>
  </si>
  <si>
    <t>disparage</t>
  </si>
  <si>
    <t>neuroticism</t>
  </si>
  <si>
    <t>prognosis</t>
  </si>
  <si>
    <t>efflorescence</t>
  </si>
  <si>
    <t>extant</t>
  </si>
  <si>
    <t>elan</t>
  </si>
  <si>
    <t>restive</t>
  </si>
  <si>
    <t>vilify</t>
  </si>
  <si>
    <t>cogitate</t>
  </si>
  <si>
    <t>obduracy</t>
  </si>
  <si>
    <t>vagary</t>
  </si>
  <si>
    <t>affectation</t>
  </si>
  <si>
    <t>buttress</t>
  </si>
  <si>
    <t>chauvinistic</t>
  </si>
  <si>
    <t>jingoistic</t>
  </si>
  <si>
    <t>virtuoso</t>
  </si>
  <si>
    <t>dissemble</t>
  </si>
  <si>
    <t>engender</t>
  </si>
  <si>
    <t>pertinacious</t>
  </si>
  <si>
    <t>mulish</t>
  </si>
  <si>
    <t>presumptuous</t>
  </si>
  <si>
    <t>probity</t>
  </si>
  <si>
    <t>rectitude</t>
  </si>
  <si>
    <t>proliferate</t>
  </si>
  <si>
    <t>specious</t>
  </si>
  <si>
    <t>fallacious</t>
  </si>
  <si>
    <t>underscore</t>
  </si>
  <si>
    <t>adulate</t>
  </si>
  <si>
    <t>grafting</t>
  </si>
  <si>
    <t>iconoclasm</t>
  </si>
  <si>
    <t>the destruction of religious images, or the opposition to generally accepted beliefs and traditions</t>
  </si>
  <si>
    <t>acerbic</t>
  </si>
  <si>
    <t>panacea</t>
  </si>
  <si>
    <t>experimental</t>
  </si>
  <si>
    <t>patrimony</t>
  </si>
  <si>
    <t>cignets</t>
  </si>
  <si>
    <t>sinewy</t>
  </si>
  <si>
    <t>clamorous</t>
  </si>
  <si>
    <t>vociferous</t>
  </si>
  <si>
    <t>explicate</t>
  </si>
  <si>
    <t>puffery</t>
  </si>
  <si>
    <t>indelible</t>
  </si>
  <si>
    <t>permanent, lasting, unforgettable</t>
  </si>
  <si>
    <t>insular</t>
  </si>
  <si>
    <t>parochial</t>
  </si>
  <si>
    <t>hidebound</t>
  </si>
  <si>
    <t>provincial</t>
  </si>
  <si>
    <t>intransigent</t>
  </si>
  <si>
    <t>obdurate</t>
  </si>
  <si>
    <t>plucky</t>
  </si>
  <si>
    <t>neophyte</t>
  </si>
  <si>
    <t>ersatz</t>
  </si>
  <si>
    <t>sedulous</t>
  </si>
  <si>
    <t>assiduous</t>
  </si>
  <si>
    <t>dogmatic</t>
  </si>
  <si>
    <t>doctrinaire</t>
  </si>
  <si>
    <t>bromide</t>
  </si>
  <si>
    <t>truism</t>
  </si>
  <si>
    <t>banality</t>
  </si>
  <si>
    <t>axiom</t>
  </si>
  <si>
    <t>oracular</t>
  </si>
  <si>
    <t>maxim</t>
  </si>
  <si>
    <t>postulate</t>
  </si>
  <si>
    <t>sanction</t>
  </si>
  <si>
    <t xml:space="preserve">evanescent </t>
  </si>
  <si>
    <t>gainsay</t>
  </si>
  <si>
    <t>nettlesome</t>
  </si>
  <si>
    <t>obviate</t>
  </si>
  <si>
    <t>perfidy</t>
  </si>
  <si>
    <t>profuse</t>
  </si>
  <si>
    <t>pugnacious</t>
  </si>
  <si>
    <t>sagacious</t>
  </si>
  <si>
    <t>belligerent</t>
  </si>
  <si>
    <t>foreground</t>
  </si>
  <si>
    <t>putative</t>
  </si>
  <si>
    <t>dissipated</t>
  </si>
  <si>
    <t>licentious</t>
  </si>
  <si>
    <t>ostentatious</t>
  </si>
  <si>
    <t>innoxious</t>
  </si>
  <si>
    <t>preclude</t>
  </si>
  <si>
    <t>rife</t>
  </si>
  <si>
    <t>perspicacious</t>
  </si>
  <si>
    <t>boorish</t>
  </si>
  <si>
    <t>brook</t>
  </si>
  <si>
    <t>comity</t>
  </si>
  <si>
    <t>commensurate</t>
  </si>
  <si>
    <t>edify</t>
  </si>
  <si>
    <t>fecund</t>
  </si>
  <si>
    <t>forbear</t>
  </si>
  <si>
    <t>boor</t>
  </si>
  <si>
    <t>erudite</t>
  </si>
  <si>
    <t>germane</t>
  </si>
  <si>
    <t>hodgepodge</t>
  </si>
  <si>
    <t>melange</t>
  </si>
  <si>
    <t>waspish</t>
  </si>
  <si>
    <t>surly</t>
  </si>
  <si>
    <t>irascible</t>
  </si>
  <si>
    <t>trenchant</t>
  </si>
  <si>
    <t>idiosyncratic</t>
  </si>
  <si>
    <t>tempestuous</t>
  </si>
  <si>
    <t>impute</t>
  </si>
  <si>
    <t xml:space="preserve">ascribe </t>
  </si>
  <si>
    <t>eschew</t>
  </si>
  <si>
    <t>prevaricating</t>
  </si>
  <si>
    <t>exculpate</t>
  </si>
  <si>
    <t>clandestine</t>
  </si>
  <si>
    <t>surreptitious</t>
  </si>
  <si>
    <t>myopic</t>
  </si>
  <si>
    <t>insouciant</t>
  </si>
  <si>
    <t>augur</t>
  </si>
  <si>
    <t>enervated</t>
  </si>
  <si>
    <t>languorous</t>
  </si>
  <si>
    <t>phlegmatic</t>
  </si>
  <si>
    <t>ebullient</t>
  </si>
  <si>
    <t>boisterous</t>
  </si>
  <si>
    <t>churlish</t>
  </si>
  <si>
    <t>loutish</t>
  </si>
  <si>
    <t>droll</t>
  </si>
  <si>
    <t>mirthful</t>
  </si>
  <si>
    <t xml:space="preserve">irascible </t>
  </si>
  <si>
    <t>fractious</t>
  </si>
  <si>
    <t>nostrum</t>
  </si>
  <si>
    <t>penchant</t>
  </si>
  <si>
    <t>torpid</t>
  </si>
  <si>
    <t>truculent</t>
  </si>
  <si>
    <t>bellicose</t>
  </si>
  <si>
    <t>obstreperous</t>
  </si>
  <si>
    <t>astringent</t>
  </si>
  <si>
    <t>acrimonious</t>
  </si>
  <si>
    <t>beneficent</t>
  </si>
  <si>
    <t>canny</t>
  </si>
  <si>
    <t>cavalier</t>
  </si>
  <si>
    <t>remunerative</t>
  </si>
  <si>
    <t>opprobrium</t>
  </si>
  <si>
    <t xml:space="preserve">obloquy </t>
  </si>
  <si>
    <t>penurious</t>
  </si>
  <si>
    <t>parsimonious</t>
  </si>
  <si>
    <t>stinting</t>
  </si>
  <si>
    <t>affronting</t>
  </si>
  <si>
    <t>galling</t>
  </si>
  <si>
    <t>forswear</t>
  </si>
  <si>
    <t>tenable</t>
  </si>
  <si>
    <t>peccadillo</t>
  </si>
  <si>
    <t>verisimilitude</t>
  </si>
  <si>
    <t>vitiate</t>
  </si>
  <si>
    <t>felicitous</t>
  </si>
  <si>
    <t>repudiate</t>
  </si>
  <si>
    <t>haphazard</t>
  </si>
  <si>
    <t>acumen</t>
  </si>
  <si>
    <t>dilettante</t>
  </si>
  <si>
    <t>ardor</t>
  </si>
  <si>
    <t>igneous</t>
  </si>
  <si>
    <t>morphology</t>
  </si>
  <si>
    <t>malapropism</t>
  </si>
  <si>
    <t>solecism</t>
  </si>
  <si>
    <t>accord</t>
  </si>
  <si>
    <t>magnanimous</t>
  </si>
  <si>
    <t>rococo</t>
  </si>
  <si>
    <t>florid</t>
  </si>
  <si>
    <t>ornate</t>
  </si>
  <si>
    <t>grandiloquent</t>
  </si>
  <si>
    <t>bombastic</t>
  </si>
  <si>
    <t>imperil</t>
  </si>
  <si>
    <t>mollifying</t>
  </si>
  <si>
    <t>placatory</t>
  </si>
  <si>
    <t>countenance</t>
  </si>
  <si>
    <t>extraneous</t>
  </si>
  <si>
    <t>invidious</t>
  </si>
  <si>
    <t>pellucid</t>
  </si>
  <si>
    <t>numinous</t>
  </si>
  <si>
    <t>decant</t>
  </si>
  <si>
    <t>internment</t>
  </si>
  <si>
    <t>cannulae</t>
  </si>
  <si>
    <t>venflon</t>
  </si>
  <si>
    <t>adroit</t>
  </si>
  <si>
    <t>congenital</t>
  </si>
  <si>
    <t>recalcitrant</t>
  </si>
  <si>
    <t>wayward</t>
  </si>
  <si>
    <t>obstinate</t>
  </si>
  <si>
    <t>refractory</t>
  </si>
  <si>
    <t>reticent</t>
  </si>
  <si>
    <t>tantamount</t>
  </si>
  <si>
    <t>polymath</t>
  </si>
  <si>
    <t>languor</t>
  </si>
  <si>
    <t>savant</t>
  </si>
  <si>
    <t>lassitude</t>
  </si>
  <si>
    <t>umbrage</t>
  </si>
  <si>
    <t>predeliction</t>
  </si>
  <si>
    <t>pique</t>
  </si>
  <si>
    <t>exuberant</t>
  </si>
  <si>
    <t>iconoclastic</t>
  </si>
  <si>
    <t>immure</t>
  </si>
  <si>
    <t>cloister</t>
  </si>
  <si>
    <t>feckless</t>
  </si>
  <si>
    <t>recapitulate</t>
  </si>
  <si>
    <t>epitomize</t>
  </si>
  <si>
    <t>enumerate</t>
  </si>
  <si>
    <t>propitiate</t>
  </si>
  <si>
    <t>prefigure</t>
  </si>
  <si>
    <t>vituperative</t>
  </si>
  <si>
    <t>exigent</t>
  </si>
  <si>
    <t>ideologue</t>
  </si>
  <si>
    <t>prognosticate</t>
  </si>
  <si>
    <t>foretoken</t>
  </si>
  <si>
    <t>eulogize</t>
  </si>
  <si>
    <t>extol</t>
  </si>
  <si>
    <t>panegyrize</t>
  </si>
  <si>
    <t>adherent</t>
  </si>
  <si>
    <t>calumniate</t>
  </si>
  <si>
    <t>saccharine</t>
  </si>
  <si>
    <t>cloying</t>
  </si>
  <si>
    <t>inanity</t>
  </si>
  <si>
    <t>concision</t>
  </si>
  <si>
    <t>pithiness</t>
  </si>
  <si>
    <t>artful</t>
  </si>
  <si>
    <t>outface</t>
  </si>
  <si>
    <t>hegemonized</t>
  </si>
  <si>
    <t>emanate</t>
  </si>
  <si>
    <t>pansophical</t>
  </si>
  <si>
    <t>exult</t>
  </si>
  <si>
    <t>erstwhile</t>
  </si>
  <si>
    <t>antecedent</t>
  </si>
  <si>
    <t>quondam</t>
  </si>
  <si>
    <t>punitive</t>
  </si>
  <si>
    <t>reposing</t>
  </si>
  <si>
    <t>quiescent</t>
  </si>
  <si>
    <t>traduce</t>
  </si>
  <si>
    <t>modish</t>
  </si>
  <si>
    <t>vacuous</t>
  </si>
  <si>
    <t>turgid</t>
  </si>
  <si>
    <t>roily</t>
  </si>
  <si>
    <t>turbid</t>
  </si>
  <si>
    <t>piquant</t>
  </si>
  <si>
    <t>impecunious</t>
  </si>
  <si>
    <t>acme</t>
  </si>
  <si>
    <t>occlude</t>
  </si>
  <si>
    <t>levity</t>
  </si>
  <si>
    <t>vivacity</t>
  </si>
  <si>
    <t>hilarity</t>
  </si>
  <si>
    <t>latitude</t>
  </si>
  <si>
    <t>ineluctable</t>
  </si>
  <si>
    <t>plaint</t>
  </si>
  <si>
    <t>imputation</t>
  </si>
  <si>
    <t>gregarious</t>
  </si>
  <si>
    <t>entreat</t>
  </si>
  <si>
    <t>impinge</t>
  </si>
  <si>
    <t>temerity</t>
  </si>
  <si>
    <t>effrontery</t>
  </si>
  <si>
    <t>turpitude</t>
  </si>
  <si>
    <t>lampoon</t>
  </si>
  <si>
    <t>ancillary</t>
  </si>
  <si>
    <t>surfeit</t>
  </si>
  <si>
    <t>stanch</t>
  </si>
  <si>
    <t>sordid</t>
  </si>
  <si>
    <t>ignoble</t>
  </si>
  <si>
    <t>seedy</t>
  </si>
  <si>
    <t>squalid</t>
  </si>
  <si>
    <t>louche</t>
  </si>
  <si>
    <t>sinecure</t>
  </si>
  <si>
    <t>providential</t>
  </si>
  <si>
    <t>serendipitous</t>
  </si>
  <si>
    <t>rhapsody</t>
  </si>
  <si>
    <t>redress</t>
  </si>
  <si>
    <t>eremite</t>
  </si>
  <si>
    <t>ponderous</t>
  </si>
  <si>
    <t>pastiche</t>
  </si>
  <si>
    <t>ossify</t>
  </si>
  <si>
    <t>hapless</t>
  </si>
  <si>
    <t>extenuating</t>
  </si>
  <si>
    <t>cosset</t>
  </si>
  <si>
    <t>benison</t>
  </si>
  <si>
    <t>apprise</t>
  </si>
  <si>
    <t>agog</t>
  </si>
  <si>
    <t>abrogate</t>
  </si>
  <si>
    <t>paean</t>
  </si>
  <si>
    <t>anchorite</t>
  </si>
  <si>
    <t>buoyancy</t>
  </si>
  <si>
    <t>verve</t>
  </si>
  <si>
    <t>stolid</t>
  </si>
  <si>
    <t>slovenly</t>
  </si>
  <si>
    <t>precocious</t>
  </si>
  <si>
    <t>odious</t>
  </si>
  <si>
    <t>kowtow</t>
  </si>
  <si>
    <t>gratuitous</t>
  </si>
  <si>
    <t>schismatic</t>
  </si>
  <si>
    <t>factious</t>
  </si>
  <si>
    <t>extemporize</t>
  </si>
  <si>
    <t>capitulate</t>
  </si>
  <si>
    <t>jejune</t>
  </si>
  <si>
    <t>bluster</t>
  </si>
  <si>
    <t>genuflect</t>
  </si>
  <si>
    <t>apogee</t>
  </si>
  <si>
    <t>prurient</t>
  </si>
  <si>
    <t>salacious</t>
  </si>
  <si>
    <t>propitious</t>
  </si>
  <si>
    <t>nadir</t>
  </si>
  <si>
    <t>atrophy</t>
  </si>
  <si>
    <t>molder</t>
  </si>
  <si>
    <t>languish</t>
  </si>
  <si>
    <t>jocund</t>
  </si>
  <si>
    <t>imbroglio</t>
  </si>
  <si>
    <t>dilate</t>
  </si>
  <si>
    <t>expatiate</t>
  </si>
  <si>
    <t>echelon</t>
  </si>
  <si>
    <t>rung</t>
  </si>
  <si>
    <t>dowdy</t>
  </si>
  <si>
    <t>frumpy</t>
  </si>
  <si>
    <t>frumpish</t>
  </si>
  <si>
    <t>detente</t>
  </si>
  <si>
    <t>rapprochement</t>
  </si>
  <si>
    <t>warble</t>
  </si>
  <si>
    <t>trill</t>
  </si>
  <si>
    <t>credo</t>
  </si>
  <si>
    <t>contretemps</t>
  </si>
  <si>
    <t>commiserate</t>
  </si>
  <si>
    <t>bawdy</t>
  </si>
  <si>
    <t>ribald</t>
  </si>
  <si>
    <t>risque</t>
  </si>
  <si>
    <t>titillating</t>
  </si>
  <si>
    <t>aspersion</t>
  </si>
  <si>
    <t>sophistry</t>
  </si>
  <si>
    <t>casuistry</t>
  </si>
  <si>
    <t>paralogism</t>
  </si>
  <si>
    <t>strident</t>
  </si>
  <si>
    <t>pettifog</t>
  </si>
  <si>
    <t>rescind</t>
  </si>
  <si>
    <t>inchoate</t>
  </si>
  <si>
    <t>nascent</t>
  </si>
  <si>
    <t>incipient</t>
  </si>
  <si>
    <t>gauche</t>
  </si>
  <si>
    <t>gawky</t>
  </si>
  <si>
    <t>endemic</t>
  </si>
  <si>
    <t>distend</t>
  </si>
  <si>
    <t>hauteur</t>
  </si>
  <si>
    <t>burnish</t>
  </si>
  <si>
    <t>august</t>
  </si>
  <si>
    <t>ideational</t>
  </si>
  <si>
    <t>abeyance</t>
  </si>
  <si>
    <t>moratorium</t>
  </si>
  <si>
    <t>remission</t>
  </si>
  <si>
    <t>unalloyed</t>
  </si>
  <si>
    <t>tactile</t>
  </si>
  <si>
    <t>haptic</t>
  </si>
  <si>
    <t>dissipate</t>
  </si>
  <si>
    <t>disrate</t>
  </si>
  <si>
    <t>philistine</t>
  </si>
  <si>
    <t>lowbrow</t>
  </si>
  <si>
    <t>malefactor</t>
  </si>
  <si>
    <t>upbraid</t>
  </si>
  <si>
    <t>heady</t>
  </si>
  <si>
    <t>vinous</t>
  </si>
  <si>
    <t>inebriate</t>
  </si>
  <si>
    <t>excoriate</t>
  </si>
  <si>
    <t>circumlocution</t>
  </si>
  <si>
    <t>dirge</t>
  </si>
  <si>
    <t>elegy</t>
  </si>
  <si>
    <t>crosspatch</t>
  </si>
  <si>
    <t>curmudgeon</t>
  </si>
  <si>
    <t>foment</t>
  </si>
  <si>
    <t>periphrasis</t>
  </si>
  <si>
    <t>disquisition</t>
  </si>
  <si>
    <t>tacit</t>
  </si>
  <si>
    <t>bumptious</t>
  </si>
  <si>
    <t>peevish</t>
  </si>
  <si>
    <t>lurid</t>
  </si>
  <si>
    <t>lugubrious</t>
  </si>
  <si>
    <t>sumptuous</t>
  </si>
  <si>
    <t>inveterate</t>
  </si>
  <si>
    <t>credulous</t>
  </si>
  <si>
    <t>equanimity</t>
  </si>
  <si>
    <t>somatic</t>
  </si>
  <si>
    <t>axiomatic</t>
  </si>
  <si>
    <t>apodictic</t>
  </si>
  <si>
    <t>petulant</t>
  </si>
  <si>
    <t>doleful</t>
  </si>
  <si>
    <t>waggish</t>
  </si>
  <si>
    <t>imperiousness</t>
  </si>
  <si>
    <t>phlegm</t>
  </si>
  <si>
    <t>broadside</t>
  </si>
  <si>
    <t>adjure</t>
  </si>
  <si>
    <t>exhort</t>
  </si>
  <si>
    <t>incontrovertible</t>
  </si>
  <si>
    <t>caviling</t>
  </si>
  <si>
    <t>carping</t>
  </si>
  <si>
    <t>denuded</t>
  </si>
  <si>
    <t>belabor</t>
  </si>
  <si>
    <t>plaintive</t>
  </si>
  <si>
    <t>inviolable</t>
  </si>
  <si>
    <t>deluge</t>
  </si>
  <si>
    <t>inundate</t>
  </si>
  <si>
    <t>coiled</t>
  </si>
  <si>
    <t>disinterested</t>
  </si>
  <si>
    <t>assail</t>
  </si>
  <si>
    <t>reverberation</t>
  </si>
  <si>
    <t>recourse</t>
  </si>
  <si>
    <t>precipitous</t>
  </si>
  <si>
    <t>mettlesome</t>
  </si>
  <si>
    <t>flagging</t>
  </si>
  <si>
    <t>spleen</t>
  </si>
  <si>
    <t>spasmodic</t>
  </si>
  <si>
    <t>facile</t>
  </si>
  <si>
    <t>pine</t>
  </si>
  <si>
    <t>duress</t>
  </si>
  <si>
    <t>decry</t>
  </si>
  <si>
    <t>convalescent</t>
  </si>
  <si>
    <t>fitful</t>
  </si>
  <si>
    <t>vivacious</t>
  </si>
  <si>
    <t>scrimp</t>
  </si>
  <si>
    <t>prodigious</t>
  </si>
  <si>
    <t>inviolate</t>
  </si>
  <si>
    <t>histrionic</t>
  </si>
  <si>
    <t>heterodox</t>
  </si>
  <si>
    <t>gaffe</t>
  </si>
  <si>
    <t>embroider</t>
  </si>
  <si>
    <t>proffer</t>
  </si>
  <si>
    <t>munificent</t>
  </si>
  <si>
    <t>peripatetic</t>
  </si>
  <si>
    <t>mettle</t>
  </si>
  <si>
    <t>apportion</t>
  </si>
  <si>
    <t>disburse</t>
  </si>
  <si>
    <t>chimera</t>
  </si>
  <si>
    <t>purgative</t>
  </si>
  <si>
    <t>aver</t>
  </si>
  <si>
    <t>abject</t>
  </si>
  <si>
    <t>itinerant</t>
  </si>
  <si>
    <t>aperient</t>
  </si>
  <si>
    <t>woebegone</t>
  </si>
  <si>
    <t>trounce</t>
  </si>
  <si>
    <t>supplicate</t>
  </si>
  <si>
    <t>sanctimonious</t>
  </si>
  <si>
    <t>perennial</t>
  </si>
  <si>
    <t>evince</t>
  </si>
  <si>
    <t>libertine</t>
  </si>
  <si>
    <t>rake</t>
  </si>
  <si>
    <t>philanderer</t>
  </si>
  <si>
    <t>largesse</t>
  </si>
  <si>
    <t>abreast</t>
  </si>
  <si>
    <t>conversant</t>
  </si>
  <si>
    <t>roue</t>
  </si>
  <si>
    <t>recrudescent</t>
  </si>
  <si>
    <t>mendacity</t>
  </si>
  <si>
    <t>inveigle</t>
  </si>
  <si>
    <t>errant</t>
  </si>
  <si>
    <t>discomfit</t>
  </si>
  <si>
    <t>iniquitous</t>
  </si>
  <si>
    <t>veritable</t>
  </si>
  <si>
    <t>adjutant</t>
  </si>
  <si>
    <t>prolix</t>
  </si>
  <si>
    <t>protracted</t>
  </si>
  <si>
    <t>virulent</t>
  </si>
  <si>
    <t>manacle</t>
  </si>
  <si>
    <t>amble</t>
  </si>
  <si>
    <t>blithe</t>
  </si>
  <si>
    <t>impugn</t>
  </si>
  <si>
    <t>synoptic</t>
  </si>
  <si>
    <t>syncretize</t>
  </si>
  <si>
    <t>fete</t>
  </si>
  <si>
    <t>rankle</t>
  </si>
  <si>
    <t>chafe</t>
  </si>
  <si>
    <t>bridle</t>
  </si>
  <si>
    <t>antedate</t>
  </si>
  <si>
    <t>veracity</t>
  </si>
  <si>
    <t>coruscating</t>
  </si>
  <si>
    <t>antecede</t>
  </si>
  <si>
    <t>hedging</t>
  </si>
  <si>
    <t>flotation</t>
  </si>
  <si>
    <t>idiosyncrasies</t>
  </si>
  <si>
    <t>maladroit</t>
  </si>
  <si>
    <t>vestigial</t>
  </si>
  <si>
    <t>concomitant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</si>
</sst>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u/>
      <sz val="10"/>
      <color theme="1"/>
      <name val="Arial"/>
      <scheme val="minor"/>
    </font>
    <font>
      <sz val="10"/>
      <color theme="1"/>
      <name val="Arial"/>
      <scheme val="minor"/>
    </font>
    <font>
      <b/>
      <u/>
      <sz val="10"/>
      <color theme="1"/>
      <name val="Arial"/>
      <scheme val="minor"/>
    </font>
    <font>
      <b/>
      <u/>
      <sz val="12"/>
      <color rgb="FF000000"/>
      <name val="Arial"/>
      <scheme val="minor"/>
    </font>
    <font>
      <b/>
      <u/>
      <sz val="12"/>
      <color theme="1"/>
      <name val="Arial"/>
      <scheme val="minor"/>
    </font>
    <font>
      <sz val="10"/>
      <color theme="1"/>
      <name val="Arial"/>
      <scheme val="minor"/>
    </font>
    <font>
      <sz val="10"/>
      <color theme="1"/>
      <name val="Arial"/>
    </font>
    <font>
      <i/>
      <sz val="10"/>
      <color theme="1"/>
      <name val="Arial"/>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wrapText="1"/>
    </xf>
    <xf numFmtId="0" fontId="6" fillId="2" borderId="0" xfId="0" applyFont="1" applyFill="1" applyAlignment="1">
      <alignment vertical="center" wrapText="1"/>
    </xf>
    <xf numFmtId="0" fontId="0" fillId="0" borderId="0" xfId="0" applyAlignment="1">
      <alignment wrapText="1"/>
    </xf>
    <xf numFmtId="0" fontId="6" fillId="3" borderId="0" xfId="0" applyFont="1" applyFill="1" applyAlignment="1">
      <alignment vertical="center" wrapText="1"/>
    </xf>
    <xf numFmtId="0" fontId="0" fillId="2" borderId="0" xfId="0" applyFill="1" applyAlignment="1">
      <alignment wrapText="1"/>
    </xf>
    <xf numFmtId="0" fontId="2" fillId="0" borderId="0" xfId="0" applyFont="1"/>
    <xf numFmtId="0" fontId="6" fillId="2" borderId="0" xfId="0" applyFont="1" applyFill="1" applyAlignment="1">
      <alignment vertical="center"/>
    </xf>
    <xf numFmtId="0" fontId="2" fillId="0" borderId="0" xfId="0" applyFont="1" applyAlignment="1">
      <alignment wrapText="1"/>
    </xf>
    <xf numFmtId="0" fontId="6" fillId="3" borderId="0" xfId="0" applyFont="1" applyFill="1" applyAlignment="1">
      <alignment vertical="center" wrapText="1"/>
    </xf>
    <xf numFmtId="0" fontId="0" fillId="0" borderId="0" xfId="0"/>
    <xf numFmtId="0" fontId="6" fillId="2" borderId="0" xfId="0" applyFont="1" applyFill="1" applyAlignment="1">
      <alignment vertical="center" wrapText="1"/>
    </xf>
  </cellXfs>
  <cellStyles count="1">
    <cellStyle name="Normal" xfId="0" builtinId="0"/>
  </cellStyles>
  <dxfs count="3">
    <dxf>
      <font>
        <color rgb="FF980000"/>
      </font>
      <fill>
        <patternFill patternType="solid">
          <fgColor rgb="FFA4C2F4"/>
          <bgColor rgb="FFA4C2F4"/>
        </patternFill>
      </fill>
    </dxf>
    <dxf>
      <fill>
        <patternFill patternType="solid">
          <fgColor rgb="FFF3F3F3"/>
          <bgColor rgb="FFF3F3F3"/>
        </patternFill>
      </fill>
    </dxf>
    <dxf>
      <fill>
        <patternFill patternType="solid">
          <fgColor rgb="FFFFFFFF"/>
          <bgColor rgb="FFFFFFFF"/>
        </patternFill>
      </fill>
    </dxf>
  </dxfs>
  <tableStyles count="1">
    <tableStyle name="New Words-style" pivot="0" count="2" xr9:uid="{00000000-0011-0000-FFFF-FFFF00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170</xdr:row>
      <xdr:rowOff>0</xdr:rowOff>
    </xdr:from>
    <xdr:ext cx="4733925" cy="19050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Z943"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New Wo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43"/>
  <sheetViews>
    <sheetView topLeftCell="A358" workbookViewId="0">
      <selection activeCell="B146" sqref="B146"/>
    </sheetView>
  </sheetViews>
  <sheetFormatPr defaultColWidth="12.6328125" defaultRowHeight="15.75" customHeight="1" x14ac:dyDescent="0.25"/>
  <cols>
    <col min="1" max="1" width="15.6328125" customWidth="1"/>
    <col min="2" max="2" width="74.26953125" customWidth="1"/>
    <col min="3" max="3" width="30.7265625" customWidth="1"/>
    <col min="4" max="4" width="122" customWidth="1"/>
    <col min="5" max="5" width="38.36328125" customWidth="1"/>
  </cols>
  <sheetData>
    <row r="1" spans="1:26" ht="15.75" customHeight="1" x14ac:dyDescent="0.35">
      <c r="A1" s="3" t="s">
        <v>4</v>
      </c>
      <c r="B1" s="3" t="s">
        <v>5</v>
      </c>
      <c r="C1" s="4" t="s">
        <v>6</v>
      </c>
      <c r="D1" s="4" t="s">
        <v>7</v>
      </c>
      <c r="E1" s="5"/>
      <c r="F1" s="5"/>
      <c r="G1" s="5"/>
      <c r="H1" s="5"/>
      <c r="I1" s="5"/>
      <c r="J1" s="5"/>
      <c r="K1" s="5"/>
      <c r="L1" s="5"/>
      <c r="M1" s="5"/>
      <c r="N1" s="5"/>
      <c r="O1" s="5"/>
      <c r="P1" s="5"/>
      <c r="Q1" s="5"/>
      <c r="R1" s="5"/>
      <c r="S1" s="5"/>
      <c r="T1" s="5"/>
      <c r="U1" s="5"/>
      <c r="V1" s="5"/>
      <c r="W1" s="5"/>
      <c r="X1" s="5"/>
      <c r="Y1" s="5"/>
      <c r="Z1" s="5"/>
    </row>
    <row r="2" spans="1:26" ht="15.75" customHeight="1" x14ac:dyDescent="0.25">
      <c r="A2" s="7" t="s">
        <v>9</v>
      </c>
      <c r="B2" s="7" t="s">
        <v>11</v>
      </c>
      <c r="C2" s="5" t="str">
        <f ca="1">IFERROR(__xludf.DUMMYFUNCTION("AI(""snyonyms of word in column A"")"),"rebuke, lambast, berate")</f>
        <v>rebuke, lambast, berate</v>
      </c>
      <c r="D2" s="5" t="str">
        <f ca="1">IFERROR(__xludf.DUMMYFUNCTION("AI(""Use word from column A in short example sentence"")"),"The director began to castigate the actor for arriving late to the rehearsal.")</f>
        <v>The director began to castigate the actor for arriving late to the rehearsal.</v>
      </c>
      <c r="E2" s="5"/>
      <c r="F2" s="5"/>
      <c r="G2" s="5"/>
      <c r="H2" s="5"/>
      <c r="I2" s="5"/>
      <c r="J2" s="5"/>
      <c r="K2" s="5"/>
      <c r="L2" s="5"/>
      <c r="M2" s="5"/>
      <c r="N2" s="5"/>
      <c r="O2" s="5"/>
      <c r="P2" s="5"/>
      <c r="Q2" s="5"/>
      <c r="R2" s="5"/>
      <c r="S2" s="5"/>
      <c r="T2" s="5"/>
      <c r="U2" s="5"/>
      <c r="V2" s="5"/>
      <c r="W2" s="5"/>
      <c r="X2" s="5"/>
      <c r="Y2" s="5"/>
      <c r="Z2" s="5"/>
    </row>
    <row r="3" spans="1:26" ht="15.75" customHeight="1" x14ac:dyDescent="0.25">
      <c r="A3" s="7" t="s">
        <v>13</v>
      </c>
      <c r="B3" s="7" t="s">
        <v>14</v>
      </c>
      <c r="C3" s="5" t="str">
        <f ca="1">IFERROR(__xludf.DUMMYFUNCTION("AI(""snyonyms of word in column A"")"),"confine, limit, restrict")</f>
        <v>confine, limit, restrict</v>
      </c>
      <c r="D3" s="5" t="str">
        <f ca="1">IFERROR(__xludf.DUMMYFUNCTION("AI(""Use word from column A in short example sentence"")"),"The new regulations will circumscribe the authority of the local government.")</f>
        <v>The new regulations will circumscribe the authority of the local government.</v>
      </c>
      <c r="E3" s="5"/>
      <c r="F3" s="5"/>
      <c r="G3" s="5"/>
      <c r="H3" s="5"/>
      <c r="I3" s="5"/>
      <c r="J3" s="5"/>
      <c r="K3" s="5"/>
      <c r="L3" s="5"/>
      <c r="M3" s="5"/>
      <c r="N3" s="5"/>
      <c r="O3" s="5"/>
      <c r="P3" s="5"/>
      <c r="Q3" s="5"/>
      <c r="R3" s="5"/>
      <c r="S3" s="5"/>
      <c r="T3" s="5"/>
      <c r="U3" s="5"/>
      <c r="V3" s="5"/>
      <c r="W3" s="5"/>
      <c r="X3" s="5"/>
      <c r="Y3" s="5"/>
      <c r="Z3" s="5"/>
    </row>
    <row r="4" spans="1:26" ht="15.75" customHeight="1" x14ac:dyDescent="0.25">
      <c r="A4" s="7" t="s">
        <v>16</v>
      </c>
      <c r="B4" s="9" t="s">
        <v>17</v>
      </c>
      <c r="C4" s="5" t="str">
        <f ca="1">IFERROR(__xludf.DUMMYFUNCTION("AI(""snyonyms of word in column A"")"),"inferno, blaze, wildfire")</f>
        <v>inferno, blaze, wildfire</v>
      </c>
      <c r="D4" s="5" t="str">
        <f ca="1">IFERROR(__xludf.DUMMYFUNCTION("AI(""Use word from column A in short example sentence"")"),"The historic building was completely destroyed in the sudden conflagration.")</f>
        <v>The historic building was completely destroyed in the sudden conflagration.</v>
      </c>
      <c r="E4" s="5"/>
      <c r="F4" s="5"/>
      <c r="G4" s="5"/>
      <c r="H4" s="5"/>
      <c r="I4" s="5"/>
      <c r="J4" s="5"/>
      <c r="K4" s="5"/>
      <c r="L4" s="5"/>
      <c r="M4" s="5"/>
      <c r="N4" s="5"/>
      <c r="O4" s="5"/>
      <c r="P4" s="5"/>
      <c r="Q4" s="5"/>
      <c r="R4" s="5"/>
      <c r="S4" s="5"/>
      <c r="T4" s="5"/>
      <c r="U4" s="5"/>
      <c r="V4" s="5"/>
      <c r="W4" s="5"/>
      <c r="X4" s="5"/>
      <c r="Y4" s="5"/>
      <c r="Z4" s="5"/>
    </row>
    <row r="5" spans="1:26" ht="15.75" customHeight="1" x14ac:dyDescent="0.25">
      <c r="A5" s="7" t="s">
        <v>20</v>
      </c>
      <c r="B5" s="7" t="s">
        <v>21</v>
      </c>
      <c r="C5" s="5" t="str">
        <f ca="1">IFERROR(__xludf.DUMMYFUNCTION("AI(""snyonyms of word in column A"")"),"slick, insincere, facile")</f>
        <v>slick, insincere, facile</v>
      </c>
      <c r="D5" s="5" t="str">
        <f ca="1">IFERROR(__xludf.DUMMYFUNCTION("AI(""Use word from column A in short example sentence"")"),"The politician gave a glib response to avoid answering the difficult question.")</f>
        <v>The politician gave a glib response to avoid answering the difficult question.</v>
      </c>
      <c r="E5" s="5"/>
      <c r="F5" s="5"/>
      <c r="G5" s="5"/>
      <c r="H5" s="5"/>
      <c r="I5" s="5"/>
      <c r="J5" s="5"/>
      <c r="K5" s="5"/>
      <c r="L5" s="5"/>
      <c r="M5" s="5"/>
      <c r="N5" s="5"/>
      <c r="O5" s="5"/>
      <c r="P5" s="5"/>
      <c r="Q5" s="5"/>
      <c r="R5" s="5"/>
      <c r="S5" s="5"/>
      <c r="T5" s="5"/>
      <c r="U5" s="5"/>
      <c r="V5" s="5"/>
      <c r="W5" s="5"/>
      <c r="X5" s="5"/>
      <c r="Y5" s="5"/>
      <c r="Z5" s="5"/>
    </row>
    <row r="6" spans="1:26" ht="15.75" customHeight="1" x14ac:dyDescent="0.25">
      <c r="A6" s="7" t="s">
        <v>23</v>
      </c>
      <c r="B6" s="7" t="s">
        <v>25</v>
      </c>
      <c r="C6" s="5" t="str">
        <f ca="1">IFERROR(__xludf.DUMMYFUNCTION("AI(""snyonyms of word in column A"")"),"clear, transparent, pellucid")</f>
        <v>clear, transparent, pellucid</v>
      </c>
      <c r="D6" s="5" t="str">
        <f ca="1">IFERROR(__xludf.DUMMYFUNCTION("AI(""Use word from column A in short example sentence"")"),"The mountain stream was so limpid that every pebble on the bottom was clearly visible.")</f>
        <v>The mountain stream was so limpid that every pebble on the bottom was clearly visible.</v>
      </c>
      <c r="E6" s="5"/>
      <c r="F6" s="5"/>
      <c r="G6" s="5"/>
      <c r="H6" s="5"/>
      <c r="I6" s="5"/>
      <c r="J6" s="5"/>
      <c r="K6" s="5"/>
      <c r="L6" s="5"/>
      <c r="M6" s="5"/>
      <c r="N6" s="5"/>
      <c r="O6" s="5"/>
      <c r="P6" s="5"/>
      <c r="Q6" s="5"/>
      <c r="R6" s="5"/>
      <c r="S6" s="5"/>
      <c r="T6" s="5"/>
      <c r="U6" s="5"/>
      <c r="V6" s="5"/>
      <c r="W6" s="5"/>
      <c r="X6" s="5"/>
      <c r="Y6" s="5"/>
      <c r="Z6" s="5"/>
    </row>
    <row r="7" spans="1:26" ht="15.75" customHeight="1" x14ac:dyDescent="0.25">
      <c r="A7" s="7" t="s">
        <v>27</v>
      </c>
      <c r="B7" s="9" t="s">
        <v>28</v>
      </c>
      <c r="C7" s="5" t="str">
        <f ca="1">IFERROR(__xludf.DUMMYFUNCTION("AI(""snyonyms of word in column A"")"),"cliché, truism, banality")</f>
        <v>cliché, truism, banality</v>
      </c>
      <c r="D7" s="5" t="str">
        <f ca="1">IFERROR(__xludf.DUMMYFUNCTION("AI(""Use word from column A in short example sentence"")"),"His speech was filled with one empty platitude after another.")</f>
        <v>His speech was filled with one empty platitude after another.</v>
      </c>
      <c r="E7" s="5"/>
      <c r="F7" s="5"/>
      <c r="G7" s="5"/>
      <c r="H7" s="5"/>
      <c r="I7" s="5"/>
      <c r="J7" s="5"/>
      <c r="K7" s="5"/>
      <c r="L7" s="5"/>
      <c r="M7" s="5"/>
      <c r="N7" s="5"/>
      <c r="O7" s="5"/>
      <c r="P7" s="5"/>
      <c r="Q7" s="5"/>
      <c r="R7" s="5"/>
      <c r="S7" s="5"/>
      <c r="T7" s="5"/>
      <c r="U7" s="5"/>
      <c r="V7" s="5"/>
      <c r="W7" s="5"/>
      <c r="X7" s="5"/>
      <c r="Y7" s="5"/>
      <c r="Z7" s="5"/>
    </row>
    <row r="8" spans="1:26" ht="15.75" customHeight="1" x14ac:dyDescent="0.25">
      <c r="A8" s="7" t="s">
        <v>30</v>
      </c>
      <c r="B8" s="7" t="s">
        <v>31</v>
      </c>
      <c r="C8" s="5" t="str">
        <f ca="1">IFERROR(__xludf.DUMMYFUNCTION("AI(""snyonyms of word in column A"")"),"foreshadow, presage, bode")</f>
        <v>foreshadow, presage, bode</v>
      </c>
      <c r="D8" s="5" t="str">
        <f ca="1">IFERROR(__xludf.DUMMYFUNCTION("AI(""Use word from column A in short example sentence"")"),"The dark clouds rolling over the horizon portend a severe storm.")</f>
        <v>The dark clouds rolling over the horizon portend a severe storm.</v>
      </c>
      <c r="E8" s="10">
        <f>COUNTIF($A$2:$A$9956,A8)</f>
        <v>1</v>
      </c>
      <c r="F8" s="5"/>
      <c r="G8" s="5"/>
      <c r="H8" s="5"/>
      <c r="I8" s="5"/>
      <c r="J8" s="5"/>
      <c r="K8" s="5"/>
      <c r="L8" s="5"/>
      <c r="M8" s="5"/>
      <c r="N8" s="5"/>
      <c r="O8" s="5"/>
      <c r="P8" s="5"/>
      <c r="Q8" s="5"/>
      <c r="R8" s="5"/>
      <c r="S8" s="5"/>
      <c r="T8" s="5"/>
      <c r="U8" s="5"/>
      <c r="V8" s="5"/>
      <c r="W8" s="5"/>
      <c r="X8" s="5"/>
      <c r="Y8" s="5"/>
      <c r="Z8" s="5"/>
    </row>
    <row r="9" spans="1:26" ht="15.75" customHeight="1" x14ac:dyDescent="0.25">
      <c r="A9" s="7" t="s">
        <v>38</v>
      </c>
      <c r="B9" s="7" t="s">
        <v>39</v>
      </c>
      <c r="C9" s="5" t="str">
        <f ca="1">IFERROR(__xludf.DUMMYFUNCTION("AI(""snyonyms of word in column A"")"),"portend, augur, foreshadow")</f>
        <v>portend, augur, foreshadow</v>
      </c>
      <c r="D9" s="5" t="str">
        <f ca="1">IFERROR(__xludf.DUMMYFUNCTION("AI(""Use word from column A in short example sentence"")"),"The dark clouds overhead seemed to presage a severe storm.")</f>
        <v>The dark clouds overhead seemed to presage a severe storm.</v>
      </c>
      <c r="E9" s="5"/>
      <c r="F9" s="5"/>
      <c r="G9" s="5"/>
      <c r="H9" s="5"/>
      <c r="I9" s="5"/>
      <c r="J9" s="5"/>
      <c r="K9" s="5"/>
      <c r="L9" s="5"/>
      <c r="M9" s="5"/>
      <c r="N9" s="5"/>
      <c r="O9" s="5"/>
      <c r="P9" s="5"/>
      <c r="Q9" s="5"/>
      <c r="R9" s="5"/>
      <c r="S9" s="5"/>
      <c r="T9" s="5"/>
      <c r="U9" s="5"/>
      <c r="V9" s="5"/>
      <c r="W9" s="5"/>
      <c r="X9" s="5"/>
      <c r="Y9" s="5"/>
      <c r="Z9" s="5"/>
    </row>
    <row r="10" spans="1:26" ht="15.75" customHeight="1" x14ac:dyDescent="0.25">
      <c r="A10" s="7" t="s">
        <v>42</v>
      </c>
      <c r="B10" s="7" t="s">
        <v>43</v>
      </c>
      <c r="C10" s="5" t="str">
        <f ca="1">IFERROR(__xludf.DUMMYFUNCTION("AI(""snyonyms of word in column A"")"),"claim, profess, pretend")</f>
        <v>claim, profess, pretend</v>
      </c>
      <c r="D10" s="5" t="str">
        <f ca="1">IFERROR(__xludf.DUMMYFUNCTION("AI(""Use word from column A in short example sentence"")"),"The document does purport to be an official statement, but many people doubt its authenticity.")</f>
        <v>The document does purport to be an official statement, but many people doubt its authenticity.</v>
      </c>
      <c r="E10" s="5"/>
      <c r="F10" s="5"/>
      <c r="G10" s="5"/>
      <c r="H10" s="5"/>
      <c r="I10" s="5"/>
      <c r="J10" s="5"/>
      <c r="K10" s="5"/>
      <c r="L10" s="5"/>
      <c r="M10" s="5"/>
      <c r="N10" s="5"/>
      <c r="O10" s="5"/>
      <c r="P10" s="5"/>
      <c r="Q10" s="5"/>
      <c r="R10" s="5"/>
      <c r="S10" s="5"/>
      <c r="T10" s="5"/>
      <c r="U10" s="5"/>
      <c r="V10" s="5"/>
      <c r="W10" s="5"/>
      <c r="X10" s="5"/>
      <c r="Y10" s="5"/>
      <c r="Z10" s="5"/>
    </row>
    <row r="11" spans="1:26" ht="15.75" customHeight="1" x14ac:dyDescent="0.25">
      <c r="A11" s="9" t="s">
        <v>46</v>
      </c>
      <c r="B11" s="9" t="s">
        <v>47</v>
      </c>
      <c r="C11" s="5" t="str">
        <f ca="1">IFERROR(__xludf.DUMMYFUNCTION("AI(""snyonyms of word in column A"")"),"servile, fawning, sycophantic")</f>
        <v>servile, fawning, sycophantic</v>
      </c>
      <c r="D11" s="5" t="str">
        <f ca="1">IFERROR(__xludf.DUMMYFUNCTION("AI(""Use word from column A in short example sentence"")"),"The manager was uncomfortable with the obsequious behavior of the new employee, who constantly flattered him.")</f>
        <v>The manager was uncomfortable with the obsequious behavior of the new employee, who constantly flattered him.</v>
      </c>
      <c r="E11" s="5"/>
      <c r="F11" s="5"/>
      <c r="G11" s="5"/>
      <c r="H11" s="5"/>
      <c r="I11" s="5"/>
      <c r="J11" s="5"/>
      <c r="K11" s="5"/>
      <c r="L11" s="5"/>
      <c r="M11" s="5"/>
      <c r="N11" s="5"/>
      <c r="O11" s="5"/>
      <c r="P11" s="5"/>
      <c r="Q11" s="5"/>
      <c r="R11" s="5"/>
      <c r="S11" s="5"/>
      <c r="T11" s="5"/>
      <c r="U11" s="5"/>
      <c r="V11" s="5"/>
      <c r="W11" s="5"/>
      <c r="X11" s="5"/>
      <c r="Y11" s="5"/>
      <c r="Z11" s="5"/>
    </row>
    <row r="12" spans="1:26" ht="15.75" customHeight="1" x14ac:dyDescent="0.25">
      <c r="A12" s="7" t="s">
        <v>48</v>
      </c>
      <c r="B12" s="9" t="s">
        <v>50</v>
      </c>
      <c r="C12" s="5" t="str">
        <f ca="1">IFERROR(__xludf.DUMMYFUNCTION("AI(""snyonyms of word in column A"")"),"carping, censorious, faultfinding")</f>
        <v>carping, censorious, faultfinding</v>
      </c>
      <c r="D12" s="5" t="str">
        <f ca="1">IFERROR(__xludf.DUMMYFUNCTION("AI(""Use word from column A in short example sentence"")"),"The captious critic spent the entire review focusing on minor typos rather than the book's compelling plot.")</f>
        <v>The captious critic spent the entire review focusing on minor typos rather than the book's compelling plot.</v>
      </c>
      <c r="E12" s="5"/>
      <c r="F12" s="5"/>
      <c r="G12" s="5"/>
      <c r="H12" s="5"/>
      <c r="I12" s="5"/>
      <c r="J12" s="5"/>
      <c r="K12" s="5"/>
      <c r="L12" s="5"/>
      <c r="M12" s="5"/>
      <c r="N12" s="5"/>
      <c r="O12" s="5"/>
      <c r="P12" s="5"/>
      <c r="Q12" s="5"/>
      <c r="R12" s="5"/>
      <c r="S12" s="5"/>
      <c r="T12" s="5"/>
      <c r="U12" s="5"/>
      <c r="V12" s="5"/>
      <c r="W12" s="5"/>
      <c r="X12" s="5"/>
      <c r="Y12" s="5"/>
      <c r="Z12" s="5"/>
    </row>
    <row r="13" spans="1:26" ht="15.75" customHeight="1" x14ac:dyDescent="0.25">
      <c r="A13" s="7" t="s">
        <v>52</v>
      </c>
      <c r="B13" s="7" t="s">
        <v>53</v>
      </c>
      <c r="C13" s="5" t="str">
        <f ca="1">IFERROR(__xludf.DUMMYFUNCTION("AI(""snyonyms of word in column A"")"),"complaining, petulant, whiny")</f>
        <v>complaining, petulant, whiny</v>
      </c>
      <c r="D13" s="5" t="str">
        <f ca="1">IFERROR(__xludf.DUMMYFUNCTION("AI(""Use word from column A in short example sentence"")"),"The flight attendant struggled to remain polite with the querulous passenger who complained about everything.")</f>
        <v>The flight attendant struggled to remain polite with the querulous passenger who complained about everything.</v>
      </c>
      <c r="E13" s="5"/>
      <c r="F13" s="5"/>
      <c r="G13" s="5"/>
      <c r="H13" s="5"/>
      <c r="I13" s="5"/>
      <c r="J13" s="5"/>
      <c r="K13" s="5"/>
      <c r="L13" s="5"/>
      <c r="M13" s="5"/>
      <c r="N13" s="5"/>
      <c r="O13" s="5"/>
      <c r="P13" s="5"/>
      <c r="Q13" s="5"/>
      <c r="R13" s="5"/>
      <c r="S13" s="5"/>
      <c r="T13" s="5"/>
      <c r="U13" s="5"/>
      <c r="V13" s="5"/>
      <c r="W13" s="5"/>
      <c r="X13" s="5"/>
      <c r="Y13" s="5"/>
      <c r="Z13" s="5"/>
    </row>
    <row r="14" spans="1:26" ht="15.75" customHeight="1" x14ac:dyDescent="0.25">
      <c r="A14" s="7" t="s">
        <v>56</v>
      </c>
      <c r="B14" s="9" t="s">
        <v>57</v>
      </c>
      <c r="C14" s="5" t="str">
        <f ca="1">IFERROR(__xludf.DUMMYFUNCTION("AI(""snyonyms of word in column A"")"),"healthful, salutary, wholesome")</f>
        <v>healthful, salutary, wholesome</v>
      </c>
      <c r="D14" s="5" t="str">
        <f ca="1">IFERROR(__xludf.DUMMYFUNCTION("AI(""Use word from column A in short example sentence"")"),"The crisp mountain air provided a salubrious environment for her recovery.")</f>
        <v>The crisp mountain air provided a salubrious environment for her recovery.</v>
      </c>
      <c r="E14" s="5"/>
      <c r="F14" s="5"/>
      <c r="G14" s="5"/>
      <c r="H14" s="5"/>
      <c r="I14" s="5"/>
      <c r="J14" s="5"/>
      <c r="K14" s="5"/>
      <c r="L14" s="5"/>
      <c r="M14" s="5"/>
      <c r="N14" s="5"/>
      <c r="O14" s="5"/>
      <c r="P14" s="5"/>
      <c r="Q14" s="5"/>
      <c r="R14" s="5"/>
      <c r="S14" s="5"/>
      <c r="T14" s="5"/>
      <c r="U14" s="5"/>
      <c r="V14" s="5"/>
      <c r="W14" s="5"/>
      <c r="X14" s="5"/>
      <c r="Y14" s="5"/>
      <c r="Z14" s="5"/>
    </row>
    <row r="15" spans="1:26" ht="15.75" customHeight="1" x14ac:dyDescent="0.25">
      <c r="A15" s="7" t="s">
        <v>58</v>
      </c>
      <c r="B15" s="9" t="s">
        <v>59</v>
      </c>
      <c r="C15" s="5" t="str">
        <f ca="1">IFERROR(__xludf.DUMMYFUNCTION("AI(""snyonyms of word in column A"")"),"courageous, brave, fearless")</f>
        <v>courageous, brave, fearless</v>
      </c>
      <c r="D15" s="5" t="str">
        <f ca="1">IFERROR(__xludf.DUMMYFUNCTION("AI(""Use word from column A in short example sentence"")"),"The intrepid firefighter rushed into the burning building to rescue the trapped family.")</f>
        <v>The intrepid firefighter rushed into the burning building to rescue the trapped family.</v>
      </c>
      <c r="E15" s="5"/>
      <c r="F15" s="5"/>
      <c r="G15" s="5"/>
      <c r="H15" s="5"/>
      <c r="I15" s="5"/>
      <c r="J15" s="5"/>
      <c r="K15" s="5"/>
      <c r="L15" s="5"/>
      <c r="M15" s="5"/>
      <c r="N15" s="5"/>
      <c r="O15" s="5"/>
      <c r="P15" s="5"/>
      <c r="Q15" s="5"/>
      <c r="R15" s="5"/>
      <c r="S15" s="5"/>
      <c r="T15" s="5"/>
      <c r="U15" s="5"/>
      <c r="V15" s="5"/>
      <c r="W15" s="5"/>
      <c r="X15" s="5"/>
      <c r="Y15" s="5"/>
      <c r="Z15" s="5"/>
    </row>
    <row r="16" spans="1:26" ht="15.75" customHeight="1" x14ac:dyDescent="0.25">
      <c r="A16" s="7" t="s">
        <v>62</v>
      </c>
      <c r="B16" s="9" t="s">
        <v>63</v>
      </c>
      <c r="C16" s="5" t="str">
        <f ca="1">IFERROR(__xludf.DUMMYFUNCTION("AI(""snyonyms of word in column A"")"),"amenable, docile, obedient")</f>
        <v>amenable, docile, obedient</v>
      </c>
      <c r="D16" s="5" t="str">
        <f ca="1">IFERROR(__xludf.DUMMYFUNCTION("AI(""Use word from column A in short example sentence"")"),"The tractable puppy was easy to train and quickly learned to follow basic commands.")</f>
        <v>The tractable puppy was easy to train and quickly learned to follow basic commands.</v>
      </c>
      <c r="E16" s="5"/>
      <c r="F16" s="5"/>
      <c r="G16" s="5"/>
      <c r="H16" s="5"/>
      <c r="I16" s="5"/>
      <c r="J16" s="5"/>
      <c r="K16" s="5"/>
      <c r="L16" s="5"/>
      <c r="M16" s="5"/>
      <c r="N16" s="5"/>
      <c r="O16" s="5"/>
      <c r="P16" s="5"/>
      <c r="Q16" s="5"/>
      <c r="R16" s="5"/>
      <c r="S16" s="5"/>
      <c r="T16" s="5"/>
      <c r="U16" s="5"/>
      <c r="V16" s="5"/>
      <c r="W16" s="5"/>
      <c r="X16" s="5"/>
      <c r="Y16" s="5"/>
      <c r="Z16" s="5"/>
    </row>
    <row r="17" spans="1:26" ht="15.75" customHeight="1" x14ac:dyDescent="0.25">
      <c r="A17" s="5" t="s">
        <v>66</v>
      </c>
      <c r="B17" s="5" t="s">
        <v>67</v>
      </c>
      <c r="C17" s="5" t="str">
        <f ca="1">IFERROR(__xludf.DUMMYFUNCTION("AI(""snyonyms of word in column A"")"),"contradict, misrepresent, disguise")</f>
        <v>contradict, misrepresent, disguise</v>
      </c>
      <c r="D17" s="5" t="str">
        <f ca="1">IFERROR(__xludf.DUMMYFUNCTION("AI(""Use word from column A in short example sentence"")"),"His calm demeanor seemed to belie the intense nervousness he was feeling inside.")</f>
        <v>His calm demeanor seemed to belie the intense nervousness he was feeling inside.</v>
      </c>
      <c r="E17" s="5"/>
      <c r="F17" s="5"/>
      <c r="G17" s="5"/>
      <c r="H17" s="5"/>
      <c r="I17" s="5"/>
      <c r="J17" s="5"/>
      <c r="K17" s="5"/>
      <c r="L17" s="5"/>
      <c r="M17" s="5"/>
      <c r="N17" s="5"/>
      <c r="O17" s="5"/>
      <c r="P17" s="5"/>
      <c r="Q17" s="5"/>
      <c r="R17" s="5"/>
      <c r="S17" s="5"/>
      <c r="T17" s="5"/>
      <c r="U17" s="5"/>
      <c r="V17" s="5"/>
      <c r="W17" s="5"/>
      <c r="X17" s="5"/>
      <c r="Y17" s="5"/>
      <c r="Z17" s="5"/>
    </row>
    <row r="18" spans="1:26" ht="15.75" customHeight="1" x14ac:dyDescent="0.25">
      <c r="A18" s="5" t="s">
        <v>68</v>
      </c>
      <c r="B18" s="5" t="s">
        <v>69</v>
      </c>
      <c r="C18" s="5" t="str">
        <f ca="1">IFERROR(__xludf.DUMMYFUNCTION("AI(""snyonyms of word in column A"")"),"fickle, mercurial, volatile")</f>
        <v>fickle, mercurial, volatile</v>
      </c>
      <c r="D18" s="5" t="str">
        <f ca="1">IFERROR(__xludf.DUMMYFUNCTION("AI(""Use word from column A in short example sentence"")"),"The capricious weather changed from bright sunshine to a heavy downpour within minutes.")</f>
        <v>The capricious weather changed from bright sunshine to a heavy downpour within minutes.</v>
      </c>
      <c r="E18" s="5"/>
      <c r="F18" s="5"/>
      <c r="G18" s="5"/>
      <c r="H18" s="5"/>
      <c r="I18" s="5"/>
      <c r="J18" s="5"/>
      <c r="K18" s="5"/>
      <c r="L18" s="5"/>
      <c r="M18" s="5"/>
      <c r="N18" s="5"/>
      <c r="O18" s="5"/>
      <c r="P18" s="5"/>
      <c r="Q18" s="5"/>
      <c r="R18" s="5"/>
      <c r="S18" s="5"/>
      <c r="T18" s="5"/>
      <c r="U18" s="5"/>
      <c r="V18" s="5"/>
      <c r="W18" s="5"/>
      <c r="X18" s="5"/>
      <c r="Y18" s="5"/>
      <c r="Z18" s="5"/>
    </row>
    <row r="19" spans="1:26" ht="15.75" customHeight="1" x14ac:dyDescent="0.25">
      <c r="A19" s="5" t="s">
        <v>71</v>
      </c>
      <c r="B19" s="5" t="s">
        <v>72</v>
      </c>
      <c r="C19" s="5" t="str">
        <f ca="1">IFERROR(__xludf.DUMMYFUNCTION("AI(""snyonyms of word in column A"")"),"whim, vagary, impulse, quirk")</f>
        <v>whim, vagary, impulse, quirk</v>
      </c>
      <c r="D19" s="5" t="str">
        <f ca="1">IFERROR(__xludf.DUMMYFUNCTION("AI(""Use word from column A in short example sentence"")"),"Her decision to quit her job and move to Paris was a sudden caprice.")</f>
        <v>Her decision to quit her job and move to Paris was a sudden caprice.</v>
      </c>
      <c r="E19" s="5"/>
      <c r="F19" s="5"/>
      <c r="G19" s="5"/>
      <c r="H19" s="5"/>
      <c r="I19" s="5"/>
      <c r="J19" s="5"/>
      <c r="K19" s="5"/>
      <c r="L19" s="5"/>
      <c r="M19" s="5"/>
      <c r="N19" s="5"/>
      <c r="O19" s="5"/>
      <c r="P19" s="5"/>
      <c r="Q19" s="5"/>
      <c r="R19" s="5"/>
      <c r="S19" s="5"/>
      <c r="T19" s="5"/>
      <c r="U19" s="5"/>
      <c r="V19" s="5"/>
      <c r="W19" s="5"/>
      <c r="X19" s="5"/>
      <c r="Y19" s="5"/>
      <c r="Z19" s="5"/>
    </row>
    <row r="20" spans="1:26" ht="25" x14ac:dyDescent="0.25">
      <c r="A20" s="5" t="s">
        <v>73</v>
      </c>
      <c r="B20" s="5" t="s">
        <v>75</v>
      </c>
      <c r="C20" s="5" t="str">
        <f ca="1">IFERROR(__xludf.DUMMYFUNCTION("AI(""snyonyms of word in column A"")"),"capricious, fickle, volatile")</f>
        <v>capricious, fickle, volatile</v>
      </c>
      <c r="D20" s="5" t="str">
        <f ca="1">IFERROR(__xludf.DUMMYFUNCTION("AI(""Use word from column A in short example sentence"")"),"His mercurial temperament made it difficult to predict how he would react to the news.")</f>
        <v>His mercurial temperament made it difficult to predict how he would react to the news.</v>
      </c>
      <c r="E20" s="5"/>
      <c r="F20" s="5"/>
      <c r="G20" s="5"/>
      <c r="H20" s="5"/>
      <c r="I20" s="5"/>
      <c r="J20" s="5"/>
      <c r="K20" s="5"/>
      <c r="L20" s="5"/>
      <c r="M20" s="5"/>
      <c r="N20" s="5"/>
      <c r="O20" s="5"/>
      <c r="P20" s="5"/>
      <c r="Q20" s="5"/>
      <c r="R20" s="5"/>
      <c r="S20" s="5"/>
      <c r="T20" s="5"/>
      <c r="U20" s="5"/>
      <c r="V20" s="5"/>
      <c r="W20" s="5"/>
      <c r="X20" s="5"/>
      <c r="Y20" s="5"/>
      <c r="Z20" s="5"/>
    </row>
    <row r="21" spans="1:26" ht="12.5" x14ac:dyDescent="0.25">
      <c r="A21" s="5" t="s">
        <v>76</v>
      </c>
      <c r="B21" s="5" t="s">
        <v>77</v>
      </c>
      <c r="C21" s="5" t="str">
        <f ca="1">IFERROR(__xludf.DUMMYFUNCTION("AI(""snyonyms of word in column A"")"),"shapeless, formless, unstructured")</f>
        <v>shapeless, formless, unstructured</v>
      </c>
      <c r="D21" s="5" t="s">
        <v>78</v>
      </c>
      <c r="E21" s="5"/>
      <c r="F21" s="5"/>
      <c r="G21" s="5"/>
      <c r="H21" s="5"/>
      <c r="I21" s="5"/>
      <c r="J21" s="5"/>
      <c r="K21" s="5"/>
      <c r="L21" s="5"/>
      <c r="M21" s="5"/>
      <c r="N21" s="5"/>
      <c r="O21" s="5"/>
      <c r="P21" s="5"/>
      <c r="Q21" s="5"/>
      <c r="R21" s="5"/>
      <c r="S21" s="5"/>
      <c r="T21" s="5"/>
      <c r="U21" s="5"/>
      <c r="V21" s="5"/>
      <c r="W21" s="5"/>
      <c r="X21" s="5"/>
      <c r="Y21" s="5"/>
      <c r="Z21" s="5"/>
    </row>
    <row r="22" spans="1:26" ht="12.5" x14ac:dyDescent="0.25">
      <c r="A22" s="5" t="s">
        <v>79</v>
      </c>
      <c r="B22" s="5" t="s">
        <v>80</v>
      </c>
      <c r="C22" s="5" t="str">
        <f ca="1">IFERROR(__xludf.DUMMYFUNCTION("AI(""snyonyms of word in column A"")"),"vague, hazy, obscure")</f>
        <v>vague, hazy, obscure</v>
      </c>
      <c r="D22" s="5" t="str">
        <f ca="1">IFERROR(__xludf.DUMMYFUNCTION("AI(""Use word from column A in short example sentence"")"),"She had a nebulous memory of her childhood home, recalling only vague shapes and colors.")</f>
        <v>She had a nebulous memory of her childhood home, recalling only vague shapes and colors.</v>
      </c>
      <c r="E22" s="5"/>
      <c r="F22" s="5"/>
      <c r="G22" s="5"/>
      <c r="H22" s="5"/>
      <c r="I22" s="5"/>
      <c r="J22" s="5"/>
      <c r="K22" s="5"/>
      <c r="L22" s="5"/>
      <c r="M22" s="5"/>
      <c r="N22" s="5"/>
      <c r="O22" s="5"/>
      <c r="P22" s="5"/>
      <c r="Q22" s="5"/>
      <c r="R22" s="5"/>
      <c r="S22" s="5"/>
      <c r="T22" s="5"/>
      <c r="U22" s="5"/>
      <c r="V22" s="5"/>
      <c r="W22" s="5"/>
      <c r="X22" s="5"/>
      <c r="Y22" s="5"/>
      <c r="Z22" s="5"/>
    </row>
    <row r="23" spans="1:26" ht="12.5" x14ac:dyDescent="0.25">
      <c r="A23" s="5" t="s">
        <v>87</v>
      </c>
      <c r="B23" s="5" t="s">
        <v>88</v>
      </c>
      <c r="C23" s="5" t="str">
        <f ca="1">IFERROR(__xludf.DUMMYFUNCTION("AI(""snyonyms of word in column A"")"),"austere, simple, no-frills, stark")</f>
        <v>austere, simple, no-frills, stark</v>
      </c>
      <c r="D23" s="5" t="str">
        <f ca="1">IFERROR(__xludf.DUMMYFUNCTION("AI(""Use word from column A in short example sentence"")"),"Their spartan living quarters lacked even the most basic comforts.")</f>
        <v>Their spartan living quarters lacked even the most basic comforts.</v>
      </c>
      <c r="E23" s="5"/>
      <c r="F23" s="5"/>
      <c r="G23" s="5"/>
      <c r="H23" s="5"/>
      <c r="I23" s="5"/>
      <c r="J23" s="5"/>
      <c r="K23" s="5"/>
      <c r="L23" s="5"/>
      <c r="M23" s="5"/>
      <c r="N23" s="5"/>
      <c r="O23" s="5"/>
      <c r="P23" s="5"/>
      <c r="Q23" s="5"/>
      <c r="R23" s="5"/>
      <c r="S23" s="5"/>
      <c r="T23" s="5"/>
      <c r="U23" s="5"/>
      <c r="V23" s="5"/>
      <c r="W23" s="5"/>
      <c r="X23" s="5"/>
      <c r="Y23" s="5"/>
      <c r="Z23" s="5"/>
    </row>
    <row r="24" spans="1:26" ht="12.5" x14ac:dyDescent="0.25">
      <c r="A24" s="5" t="s">
        <v>91</v>
      </c>
      <c r="B24" s="5" t="s">
        <v>92</v>
      </c>
      <c r="C24" s="5" t="str">
        <f ca="1">IFERROR(__xludf.DUMMYFUNCTION("AI(""snyonyms of word in column A"")"),"intellectual, mental, scholarly")</f>
        <v>intellectual, mental, scholarly</v>
      </c>
      <c r="D24" s="5" t="str">
        <f ca="1">IFERROR(__xludf.DUMMYFUNCTION("AI(""Use word from column A in short example sentence"")"),"The discussion was highly cerebral, focusing on complex philosophical theories rather than emotional responses.")</f>
        <v>The discussion was highly cerebral, focusing on complex philosophical theories rather than emotional responses.</v>
      </c>
      <c r="E24" s="5"/>
      <c r="F24" s="5"/>
      <c r="G24" s="5"/>
      <c r="H24" s="5"/>
      <c r="I24" s="5"/>
      <c r="J24" s="5"/>
      <c r="K24" s="5"/>
      <c r="L24" s="5"/>
      <c r="M24" s="5"/>
      <c r="N24" s="5"/>
      <c r="O24" s="5"/>
      <c r="P24" s="5"/>
      <c r="Q24" s="5"/>
      <c r="R24" s="5"/>
      <c r="S24" s="5"/>
      <c r="T24" s="5"/>
      <c r="U24" s="5"/>
      <c r="V24" s="5"/>
      <c r="W24" s="5"/>
      <c r="X24" s="5"/>
      <c r="Y24" s="5"/>
      <c r="Z24" s="5"/>
    </row>
    <row r="25" spans="1:26" ht="25" x14ac:dyDescent="0.25">
      <c r="A25" s="5" t="s">
        <v>95</v>
      </c>
      <c r="B25" s="5" t="s">
        <v>96</v>
      </c>
      <c r="C25" s="5" t="str">
        <f ca="1">IFERROR(__xludf.DUMMYFUNCTION("AI(""snyonyms of word in column A"")"),"friendly, compatible, agreeable")</f>
        <v>friendly, compatible, agreeable</v>
      </c>
      <c r="D25" s="5" t="str">
        <f ca="1">IFERROR(__xludf.DUMMYFUNCTION("AI(""Use word from column A in short example sentence"")"),"The congenial host made everyone feel welcome at the dinner party.")</f>
        <v>The congenial host made everyone feel welcome at the dinner party.</v>
      </c>
      <c r="E25" s="5"/>
      <c r="F25" s="5"/>
      <c r="G25" s="5"/>
      <c r="H25" s="5"/>
      <c r="I25" s="5"/>
      <c r="J25" s="5"/>
      <c r="K25" s="5"/>
      <c r="L25" s="5"/>
      <c r="M25" s="5"/>
      <c r="N25" s="5"/>
      <c r="O25" s="5"/>
      <c r="P25" s="5"/>
      <c r="Q25" s="5"/>
      <c r="R25" s="5"/>
      <c r="S25" s="5"/>
      <c r="T25" s="5"/>
      <c r="U25" s="5"/>
      <c r="V25" s="5"/>
      <c r="W25" s="5"/>
      <c r="X25" s="5"/>
      <c r="Y25" s="5"/>
      <c r="Z25" s="5"/>
    </row>
    <row r="26" spans="1:26" ht="12.5" x14ac:dyDescent="0.25">
      <c r="A26" s="5" t="s">
        <v>99</v>
      </c>
      <c r="B26" s="5" t="s">
        <v>101</v>
      </c>
      <c r="C26" s="5" t="str">
        <f ca="1">IFERROR(__xludf.DUMMYFUNCTION("AI(""snyonyms of word in column A"")"),"sociable, friendly, companionable")</f>
        <v>sociable, friendly, companionable</v>
      </c>
      <c r="D26" s="5" t="str">
        <f ca="1">IFERROR(__xludf.DUMMYFUNCTION("AI(""Use word from column A in short example sentence"")"),"The wedding reception had a convivial atmosphere, filled with laughter and joyful conversations among old friends.")</f>
        <v>The wedding reception had a convivial atmosphere, filled with laughter and joyful conversations among old friends.</v>
      </c>
      <c r="E26" s="5"/>
      <c r="F26" s="5"/>
      <c r="G26" s="5"/>
      <c r="H26" s="5"/>
      <c r="I26" s="5"/>
      <c r="J26" s="5"/>
      <c r="K26" s="5"/>
      <c r="L26" s="5"/>
      <c r="M26" s="5"/>
      <c r="N26" s="5"/>
      <c r="O26" s="5"/>
      <c r="P26" s="5"/>
      <c r="Q26" s="5"/>
      <c r="R26" s="5"/>
      <c r="S26" s="5"/>
      <c r="T26" s="5"/>
      <c r="U26" s="5"/>
      <c r="V26" s="5"/>
      <c r="W26" s="5"/>
      <c r="X26" s="5"/>
      <c r="Y26" s="5"/>
      <c r="Z26" s="5"/>
    </row>
    <row r="27" spans="1:26" ht="12.5" x14ac:dyDescent="0.25">
      <c r="A27" s="5" t="s">
        <v>105</v>
      </c>
      <c r="B27" s="5" t="s">
        <v>106</v>
      </c>
      <c r="C27" s="5" t="str">
        <f ca="1">IFERROR(__xludf.DUMMYFUNCTION("AI(""snyonyms of word in column A"")"),"superficial, careless, perfunctory")</f>
        <v>superficial, careless, perfunctory</v>
      </c>
      <c r="D27" s="5" t="str">
        <f ca="1">IFERROR(__xludf.DUMMYFUNCTION("AI(""Use word from column A in short example sentence"")"),"He gave the report a cursory glance before signing it.")</f>
        <v>He gave the report a cursory glance before signing it.</v>
      </c>
      <c r="E27" s="5"/>
      <c r="F27" s="5"/>
      <c r="G27" s="5"/>
      <c r="H27" s="5"/>
      <c r="I27" s="5"/>
      <c r="J27" s="5"/>
      <c r="K27" s="5"/>
      <c r="L27" s="5"/>
      <c r="M27" s="5"/>
      <c r="N27" s="5"/>
      <c r="O27" s="5"/>
      <c r="P27" s="5"/>
      <c r="Q27" s="5"/>
      <c r="R27" s="5"/>
      <c r="S27" s="5"/>
      <c r="T27" s="5"/>
      <c r="U27" s="5"/>
      <c r="V27" s="5"/>
      <c r="W27" s="5"/>
      <c r="X27" s="5"/>
      <c r="Y27" s="5"/>
      <c r="Z27" s="5"/>
    </row>
    <row r="28" spans="1:26" ht="12.5" x14ac:dyDescent="0.25">
      <c r="A28" s="5" t="s">
        <v>107</v>
      </c>
      <c r="B28" s="5" t="s">
        <v>108</v>
      </c>
      <c r="C28" s="5" t="str">
        <f ca="1">IFERROR(__xludf.DUMMYFUNCTION("AI(""snyonyms of word in column A"")"),"cursory, careless, automatic")</f>
        <v>cursory, careless, automatic</v>
      </c>
      <c r="D28" s="5" t="str">
        <f ca="1">IFERROR(__xludf.DUMMYFUNCTION("AI(""Use word from column A in short example sentence"")"),"The student gave a perfunctory nod before walking away.")</f>
        <v>The student gave a perfunctory nod before walking away.</v>
      </c>
      <c r="E28" s="5"/>
      <c r="F28" s="5"/>
      <c r="G28" s="5"/>
      <c r="H28" s="5"/>
      <c r="I28" s="5"/>
      <c r="J28" s="5"/>
      <c r="K28" s="5"/>
      <c r="L28" s="5"/>
      <c r="M28" s="5"/>
      <c r="N28" s="5"/>
      <c r="O28" s="5"/>
      <c r="P28" s="5"/>
      <c r="Q28" s="5"/>
      <c r="R28" s="5"/>
      <c r="S28" s="5"/>
      <c r="T28" s="5"/>
      <c r="U28" s="5"/>
      <c r="V28" s="5"/>
      <c r="W28" s="5"/>
      <c r="X28" s="5"/>
      <c r="Y28" s="5"/>
      <c r="Z28" s="5"/>
    </row>
    <row r="29" spans="1:26" ht="12.5" x14ac:dyDescent="0.25">
      <c r="A29" s="5" t="s">
        <v>111</v>
      </c>
      <c r="B29" s="5" t="s">
        <v>112</v>
      </c>
      <c r="C29" s="5" t="str">
        <f ca="1">IFERROR(__xludf.DUMMYFUNCTION("AI(""snyonyms of word in column A"")"),"timid, fearful, shy")</f>
        <v>timid, fearful, shy</v>
      </c>
      <c r="D29" s="5" t="str">
        <f ca="1">IFERROR(__xludf.DUMMYFUNCTION("AI(""Use word from column A in short example sentence"")"),"The timorous child hid behind his mother when the stranger approached.")</f>
        <v>The timorous child hid behind his mother when the stranger approached.</v>
      </c>
      <c r="E29" s="5"/>
      <c r="F29" s="5"/>
      <c r="G29" s="5"/>
      <c r="H29" s="5"/>
      <c r="I29" s="5"/>
      <c r="J29" s="5"/>
      <c r="K29" s="5"/>
      <c r="L29" s="5"/>
      <c r="M29" s="5"/>
      <c r="N29" s="5"/>
      <c r="O29" s="5"/>
      <c r="P29" s="5"/>
      <c r="Q29" s="5"/>
      <c r="R29" s="5"/>
      <c r="S29" s="5"/>
      <c r="T29" s="5"/>
      <c r="U29" s="5"/>
      <c r="V29" s="5"/>
      <c r="W29" s="5"/>
      <c r="X29" s="5"/>
      <c r="Y29" s="5"/>
      <c r="Z29" s="5"/>
    </row>
    <row r="30" spans="1:26" ht="12.5" x14ac:dyDescent="0.25">
      <c r="A30" s="5" t="s">
        <v>115</v>
      </c>
      <c r="B30" s="5" t="s">
        <v>116</v>
      </c>
      <c r="C30" s="5" t="str">
        <f ca="1">IFERROR(__xludf.DUMMYFUNCTION("AI(""snyonyms of word in column A"")"),"random, capricious, chance")</f>
        <v>random, capricious, chance</v>
      </c>
      <c r="D30" s="5" t="str">
        <f ca="1">IFERROR(__xludf.DUMMYFUNCTION("AI(""Use word from column A in short example sentence"")"),"The committee's decision seemed completely arbitrary, as no clear criteria were provided.")</f>
        <v>The committee's decision seemed completely arbitrary, as no clear criteria were provided.</v>
      </c>
      <c r="E30" s="5"/>
      <c r="F30" s="5"/>
      <c r="G30" s="5"/>
      <c r="H30" s="5"/>
      <c r="I30" s="5"/>
      <c r="J30" s="5"/>
      <c r="K30" s="5"/>
      <c r="L30" s="5"/>
      <c r="M30" s="5"/>
      <c r="N30" s="5"/>
      <c r="O30" s="5"/>
      <c r="P30" s="5"/>
      <c r="Q30" s="5"/>
      <c r="R30" s="5"/>
      <c r="S30" s="5"/>
      <c r="T30" s="5"/>
      <c r="U30" s="5"/>
      <c r="V30" s="5"/>
      <c r="W30" s="5"/>
      <c r="X30" s="5"/>
      <c r="Y30" s="5"/>
      <c r="Z30" s="5"/>
    </row>
    <row r="31" spans="1:26" ht="12.5" x14ac:dyDescent="0.25">
      <c r="A31" s="5" t="s">
        <v>118</v>
      </c>
      <c r="B31" s="5" t="s">
        <v>120</v>
      </c>
      <c r="C31" s="5" t="str">
        <f ca="1">IFERROR(__xludf.DUMMYFUNCTION("AI(""snyonyms of word in column A"")"),"relevant, pertinent, apposite")</f>
        <v>relevant, pertinent, apposite</v>
      </c>
      <c r="D31" s="5" t="str">
        <f ca="1">IFERROR(__xludf.DUMMYFUNCTION("AI(""Use word from column A in short example sentence"")"),"The comments she made were apropos to the current discussion.")</f>
        <v>The comments she made were apropos to the current discussion.</v>
      </c>
      <c r="E31" s="5"/>
      <c r="F31" s="5"/>
      <c r="G31" s="5"/>
      <c r="H31" s="5"/>
      <c r="I31" s="5"/>
      <c r="J31" s="5"/>
      <c r="K31" s="5"/>
      <c r="L31" s="5"/>
      <c r="M31" s="5"/>
      <c r="N31" s="5"/>
      <c r="O31" s="5"/>
      <c r="P31" s="5"/>
      <c r="Q31" s="5"/>
      <c r="R31" s="5"/>
      <c r="S31" s="5"/>
      <c r="T31" s="5"/>
      <c r="U31" s="5"/>
      <c r="V31" s="5"/>
      <c r="W31" s="5"/>
      <c r="X31" s="5"/>
      <c r="Y31" s="5"/>
      <c r="Z31" s="5"/>
    </row>
    <row r="32" spans="1:26" ht="12.5" x14ac:dyDescent="0.25">
      <c r="A32" s="5" t="s">
        <v>121</v>
      </c>
      <c r="B32" s="5" t="s">
        <v>122</v>
      </c>
      <c r="C32" s="5" t="str">
        <f ca="1">IFERROR(__xludf.DUMMYFUNCTION("AI(""snyonyms of word in column A"")"),"unseeded, unplanted, fallow")</f>
        <v>unseeded, unplanted, fallow</v>
      </c>
      <c r="D32" s="5" t="str">
        <f ca="1">IFERROR(__xludf.DUMMYFUNCTION("AI(""Use word from column A in short example sentence"")"),"The farmer decided to leave the back field unsown this spring.")</f>
        <v>The farmer decided to leave the back field unsown this spring.</v>
      </c>
      <c r="E32" s="5"/>
      <c r="F32" s="5"/>
      <c r="G32" s="5"/>
      <c r="H32" s="5"/>
      <c r="I32" s="5"/>
      <c r="J32" s="5"/>
      <c r="K32" s="5"/>
      <c r="L32" s="5"/>
      <c r="M32" s="5"/>
      <c r="N32" s="5"/>
      <c r="O32" s="5"/>
      <c r="P32" s="5"/>
      <c r="Q32" s="5"/>
      <c r="R32" s="5"/>
      <c r="S32" s="5"/>
      <c r="T32" s="5"/>
      <c r="U32" s="5"/>
      <c r="V32" s="5"/>
      <c r="W32" s="5"/>
      <c r="X32" s="5"/>
      <c r="Y32" s="5"/>
      <c r="Z32" s="5"/>
    </row>
    <row r="33" spans="1:26" ht="12.5" x14ac:dyDescent="0.25">
      <c r="A33" s="5" t="s">
        <v>125</v>
      </c>
      <c r="B33" s="5" t="s">
        <v>126</v>
      </c>
      <c r="C33" s="5" t="str">
        <f ca="1">IFERROR(__xludf.DUMMYFUNCTION("AI(""snyonyms of word in column A"")"),"appropriate, pertinent, relevant")</f>
        <v>appropriate, pertinent, relevant</v>
      </c>
      <c r="D33" s="5" t="str">
        <f ca="1">IFERROR(__xludf.DUMMYFUNCTION("AI(""Use word from column A in short example sentence"")"),"His speech was apposite for the occasion.")</f>
        <v>His speech was apposite for the occasion.</v>
      </c>
      <c r="E33" s="5"/>
      <c r="F33" s="5"/>
      <c r="G33" s="5"/>
      <c r="H33" s="5"/>
      <c r="I33" s="5"/>
      <c r="J33" s="5"/>
      <c r="K33" s="5"/>
      <c r="L33" s="5"/>
      <c r="M33" s="5"/>
      <c r="N33" s="5"/>
      <c r="O33" s="5"/>
      <c r="P33" s="5"/>
      <c r="Q33" s="5"/>
      <c r="R33" s="5"/>
      <c r="S33" s="5"/>
      <c r="T33" s="5"/>
      <c r="U33" s="5"/>
      <c r="V33" s="5"/>
      <c r="W33" s="5"/>
      <c r="X33" s="5"/>
      <c r="Y33" s="5"/>
      <c r="Z33" s="5"/>
    </row>
    <row r="34" spans="1:26" ht="12.5" x14ac:dyDescent="0.25">
      <c r="A34" s="5" t="s">
        <v>129</v>
      </c>
      <c r="B34" s="5" t="s">
        <v>130</v>
      </c>
      <c r="C34" s="5" t="str">
        <f ca="1">IFERROR(__xludf.DUMMYFUNCTION("AI(""snyonyms of word in column A"")"),"uncultivated, unplanted, untilled")</f>
        <v>uncultivated, unplanted, untilled</v>
      </c>
      <c r="D34" s="5" t="str">
        <f ca="1">IFERROR(__xludf.DUMMYFUNCTION("AI(""Use word from column A in short example sentence"")"),"The farmer decided to let the field lie fallow this season to replenish the nutrients in the soil.")</f>
        <v>The farmer decided to let the field lie fallow this season to replenish the nutrients in the soil.</v>
      </c>
      <c r="E34" s="5"/>
      <c r="F34" s="5"/>
      <c r="G34" s="5"/>
      <c r="H34" s="5"/>
      <c r="I34" s="5"/>
      <c r="J34" s="5"/>
      <c r="K34" s="5"/>
      <c r="L34" s="5"/>
      <c r="M34" s="5"/>
      <c r="N34" s="5"/>
      <c r="O34" s="5"/>
      <c r="P34" s="5"/>
      <c r="Q34" s="5"/>
      <c r="R34" s="5"/>
      <c r="S34" s="5"/>
      <c r="T34" s="5"/>
      <c r="U34" s="5"/>
      <c r="V34" s="5"/>
      <c r="W34" s="5"/>
      <c r="X34" s="5"/>
      <c r="Y34" s="5"/>
      <c r="Z34" s="5"/>
    </row>
    <row r="35" spans="1:26" ht="12.5" x14ac:dyDescent="0.25">
      <c r="A35" s="5" t="s">
        <v>132</v>
      </c>
      <c r="B35" s="5" t="s">
        <v>133</v>
      </c>
      <c r="C35" s="5" t="str">
        <f ca="1">IFERROR(__xludf.DUMMYFUNCTION("AI(""snyonyms of word in column A"")"),"formidable, intimidating, fearsome")</f>
        <v>formidable, intimidating, fearsome</v>
      </c>
      <c r="D35" s="5" t="str">
        <f ca="1">IFERROR(__xludf.DUMMYFUNCTION("AI(""Use word from column A in short example sentence"")"),"Despite their small size, the team faced a redoubtable opponent in the championship game.")</f>
        <v>Despite their small size, the team faced a redoubtable opponent in the championship game.</v>
      </c>
      <c r="E35" s="5"/>
      <c r="F35" s="5"/>
      <c r="G35" s="5"/>
      <c r="H35" s="5"/>
      <c r="I35" s="5"/>
      <c r="J35" s="5"/>
      <c r="K35" s="5"/>
      <c r="L35" s="5"/>
      <c r="M35" s="5"/>
      <c r="N35" s="5"/>
      <c r="O35" s="5"/>
      <c r="P35" s="5"/>
      <c r="Q35" s="5"/>
      <c r="R35" s="5"/>
      <c r="S35" s="5"/>
      <c r="T35" s="5"/>
      <c r="U35" s="5"/>
      <c r="V35" s="5"/>
      <c r="W35" s="5"/>
      <c r="X35" s="5"/>
      <c r="Y35" s="5"/>
      <c r="Z35" s="5"/>
    </row>
    <row r="36" spans="1:26" ht="12.5" x14ac:dyDescent="0.25">
      <c r="A36" s="5" t="s">
        <v>134</v>
      </c>
      <c r="B36" s="5" t="s">
        <v>136</v>
      </c>
      <c r="C36" s="5" t="str">
        <f ca="1">IFERROR(__xludf.DUMMYFUNCTION("AI(""snyonyms of word in column A"")"),"optimistic, cheerful, buoyant")</f>
        <v>optimistic, cheerful, buoyant</v>
      </c>
      <c r="D36" s="5" t="str">
        <f ca="1">IFERROR(__xludf.DUMMYFUNCTION("AI(""Use word from column A in short example sentence"")"),"Despite the challenging economic climate, the CEO remained sanguine about the company's future growth.")</f>
        <v>Despite the challenging economic climate, the CEO remained sanguine about the company's future growth.</v>
      </c>
      <c r="E36" s="5"/>
      <c r="F36" s="5"/>
      <c r="G36" s="5"/>
      <c r="H36" s="5"/>
      <c r="I36" s="5"/>
      <c r="J36" s="5"/>
      <c r="K36" s="5"/>
      <c r="L36" s="5"/>
      <c r="M36" s="5"/>
      <c r="N36" s="5"/>
      <c r="O36" s="5"/>
      <c r="P36" s="5"/>
      <c r="Q36" s="5"/>
      <c r="R36" s="5"/>
      <c r="S36" s="5"/>
      <c r="T36" s="5"/>
      <c r="U36" s="5"/>
      <c r="V36" s="5"/>
      <c r="W36" s="5"/>
      <c r="X36" s="5"/>
      <c r="Y36" s="5"/>
      <c r="Z36" s="5"/>
    </row>
    <row r="37" spans="1:26" ht="12.5" x14ac:dyDescent="0.25">
      <c r="A37" s="5" t="s">
        <v>138</v>
      </c>
      <c r="B37" s="5" t="s">
        <v>139</v>
      </c>
      <c r="C37" s="5" t="str">
        <f ca="1">IFERROR(__xludf.DUMMYFUNCTION("AI(""snyonyms of word in column A"")"),"slow, tardy, delaying")</f>
        <v>slow, tardy, delaying</v>
      </c>
      <c r="D37" s="5" t="str">
        <f ca="1">IFERROR(__xludf.DUMMYFUNCTION("AI(""Use word from column A in short example sentence"")"),"The government's dilatory strategy in implementing the new policy caused widespread frustration among the citizens.")</f>
        <v>The government's dilatory strategy in implementing the new policy caused widespread frustration among the citizens.</v>
      </c>
      <c r="E37" s="5"/>
      <c r="F37" s="5"/>
      <c r="G37" s="5"/>
      <c r="H37" s="5"/>
      <c r="I37" s="5"/>
      <c r="J37" s="5"/>
      <c r="K37" s="5"/>
      <c r="L37" s="5"/>
      <c r="M37" s="5"/>
      <c r="N37" s="5"/>
      <c r="O37" s="5"/>
      <c r="P37" s="5"/>
      <c r="Q37" s="5"/>
      <c r="R37" s="5"/>
      <c r="S37" s="5"/>
      <c r="T37" s="5"/>
      <c r="U37" s="5"/>
      <c r="V37" s="5"/>
      <c r="W37" s="5"/>
      <c r="X37" s="5"/>
      <c r="Y37" s="5"/>
      <c r="Z37" s="5"/>
    </row>
    <row r="38" spans="1:26" ht="12.5" x14ac:dyDescent="0.25">
      <c r="A38" s="5" t="s">
        <v>142</v>
      </c>
      <c r="B38" s="5" t="s">
        <v>143</v>
      </c>
      <c r="C38" s="5" t="str">
        <f ca="1">IFERROR(__xludf.DUMMYFUNCTION("AI(""snyonyms of word in column A"")"),"biased, partisan, prejudiced")</f>
        <v>biased, partisan, prejudiced</v>
      </c>
      <c r="D38" s="5" t="str">
        <f ca="1">IFERROR(__xludf.DUMMYFUNCTION("AI(""Use word from column A in short example sentence"")"),"The editor's tendentious coverage of the election clearly favored one candidate over the other.")</f>
        <v>The editor's tendentious coverage of the election clearly favored one candidate over the other.</v>
      </c>
      <c r="E38" s="5"/>
      <c r="F38" s="5"/>
      <c r="G38" s="5"/>
      <c r="H38" s="5"/>
      <c r="I38" s="5"/>
      <c r="J38" s="5"/>
      <c r="K38" s="5"/>
      <c r="L38" s="5"/>
      <c r="M38" s="5"/>
      <c r="N38" s="5"/>
      <c r="O38" s="5"/>
      <c r="P38" s="5"/>
      <c r="Q38" s="5"/>
      <c r="R38" s="5"/>
      <c r="S38" s="5"/>
      <c r="T38" s="5"/>
      <c r="U38" s="5"/>
      <c r="V38" s="5"/>
      <c r="W38" s="5"/>
      <c r="X38" s="5"/>
      <c r="Y38" s="5"/>
      <c r="Z38" s="5"/>
    </row>
    <row r="39" spans="1:26" ht="12.5" x14ac:dyDescent="0.25">
      <c r="A39" s="5" t="s">
        <v>146</v>
      </c>
      <c r="B39" s="5" t="s">
        <v>147</v>
      </c>
      <c r="C39" s="5" t="str">
        <f ca="1">IFERROR(__xludf.DUMMYFUNCTION("AI(""snyonyms of word in column A"")"),"instructive, educational, pedantic")</f>
        <v>instructive, educational, pedantic</v>
      </c>
      <c r="D39" s="5" t="str">
        <f ca="1">IFERROR(__xludf.DUMMYFUNCTION("AI(""Use word from column A in short example sentence"")"),"The professor's lectures were designed to be didactic, but they only served to confuse the students.")</f>
        <v>The professor's lectures were designed to be didactic, but they only served to confuse the students.</v>
      </c>
      <c r="E39" s="5"/>
      <c r="F39" s="5"/>
      <c r="G39" s="5"/>
      <c r="H39" s="5"/>
      <c r="I39" s="5"/>
      <c r="J39" s="5"/>
      <c r="K39" s="5"/>
      <c r="L39" s="5"/>
      <c r="M39" s="5"/>
      <c r="N39" s="5"/>
      <c r="O39" s="5"/>
      <c r="P39" s="5"/>
      <c r="Q39" s="5"/>
      <c r="R39" s="5"/>
      <c r="S39" s="5"/>
      <c r="T39" s="5"/>
      <c r="U39" s="5"/>
      <c r="V39" s="5"/>
      <c r="W39" s="5"/>
      <c r="X39" s="5"/>
      <c r="Y39" s="5"/>
      <c r="Z39" s="5"/>
    </row>
    <row r="40" spans="1:26" ht="12.5" x14ac:dyDescent="0.25">
      <c r="A40" s="5" t="s">
        <v>148</v>
      </c>
      <c r="B40" s="5" t="s">
        <v>150</v>
      </c>
      <c r="C40" s="5" t="str">
        <f ca="1">IFERROR(__xludf.DUMMYFUNCTION("AI(""snyonyms of word in column A"")"),"defy, mock, scorn")</f>
        <v>defy, mock, scorn</v>
      </c>
      <c r="D40" s="5" t="str">
        <f ca="1">IFERROR(__xludf.DUMMYFUNCTION("AI(""Use word from column A in short example sentence"")"),"He chose to flout the company's dress code by wearing a brightly colored shirt to the meeting.")</f>
        <v>He chose to flout the company's dress code by wearing a brightly colored shirt to the meeting.</v>
      </c>
      <c r="E40" s="5"/>
      <c r="F40" s="5"/>
      <c r="G40" s="5"/>
      <c r="H40" s="5"/>
      <c r="I40" s="5"/>
      <c r="J40" s="5"/>
      <c r="K40" s="5"/>
      <c r="L40" s="5"/>
      <c r="M40" s="5"/>
      <c r="N40" s="5"/>
      <c r="O40" s="5"/>
      <c r="P40" s="5"/>
      <c r="Q40" s="5"/>
      <c r="R40" s="5"/>
      <c r="S40" s="5"/>
      <c r="T40" s="5"/>
      <c r="U40" s="5"/>
      <c r="V40" s="5"/>
      <c r="W40" s="5"/>
      <c r="X40" s="5"/>
      <c r="Y40" s="5"/>
      <c r="Z40" s="5"/>
    </row>
    <row r="41" spans="1:26" ht="12.5" x14ac:dyDescent="0.25">
      <c r="A41" s="5" t="s">
        <v>152</v>
      </c>
      <c r="B41" s="5" t="s">
        <v>153</v>
      </c>
      <c r="C41" s="5" t="str">
        <f ca="1">IFERROR(__xludf.DUMMYFUNCTION("AI(""snyonyms of word in column A"")"),"monotonous, dull, boring")</f>
        <v>monotonous, dull, boring</v>
      </c>
      <c r="D41" s="5" t="str">
        <f ca="1">IFERROR(__xludf.DUMMYFUNCTION("AI(""Use word from column A in short example sentence"")"),"She could not endure another day of the humdrum office routine.")</f>
        <v>She could not endure another day of the humdrum office routine.</v>
      </c>
      <c r="E41" s="5"/>
      <c r="F41" s="5"/>
      <c r="G41" s="5"/>
      <c r="H41" s="5"/>
      <c r="I41" s="5"/>
      <c r="J41" s="5"/>
      <c r="K41" s="5"/>
      <c r="L41" s="5"/>
      <c r="M41" s="5"/>
      <c r="N41" s="5"/>
      <c r="O41" s="5"/>
      <c r="P41" s="5"/>
      <c r="Q41" s="5"/>
      <c r="R41" s="5"/>
      <c r="S41" s="5"/>
      <c r="T41" s="5"/>
      <c r="U41" s="5"/>
      <c r="V41" s="5"/>
      <c r="W41" s="5"/>
      <c r="X41" s="5"/>
      <c r="Y41" s="5"/>
      <c r="Z41" s="5"/>
    </row>
    <row r="42" spans="1:26" ht="12.5" x14ac:dyDescent="0.25">
      <c r="A42" s="5" t="s">
        <v>156</v>
      </c>
      <c r="B42" s="5" t="s">
        <v>157</v>
      </c>
      <c r="C42" s="5" t="str">
        <f ca="1">IFERROR(__xludf.DUMMYFUNCTION("AI(""snyonyms of word in column A"")"),"mundane, humdrum, pedestrian")</f>
        <v>mundane, humdrum, pedestrian</v>
      </c>
      <c r="D42" s="5" t="str">
        <f ca="1">IFERROR(__xludf.DUMMYFUNCTION("AI(""Use word from column A in short example sentence"")"),"The professor's prosaic lecture on tax law sent half the classroom to sleep.")</f>
        <v>The professor's prosaic lecture on tax law sent half the classroom to sleep.</v>
      </c>
      <c r="E42" s="5"/>
      <c r="F42" s="5"/>
      <c r="G42" s="5"/>
      <c r="H42" s="5"/>
      <c r="I42" s="5"/>
      <c r="J42" s="5"/>
      <c r="K42" s="5"/>
      <c r="L42" s="5"/>
      <c r="M42" s="5"/>
      <c r="N42" s="5"/>
      <c r="O42" s="5"/>
      <c r="P42" s="5"/>
      <c r="Q42" s="5"/>
      <c r="R42" s="5"/>
      <c r="S42" s="5"/>
      <c r="T42" s="5"/>
      <c r="U42" s="5"/>
      <c r="V42" s="5"/>
      <c r="W42" s="5"/>
      <c r="X42" s="5"/>
      <c r="Y42" s="5"/>
      <c r="Z42" s="5"/>
    </row>
    <row r="43" spans="1:26" ht="12.5" x14ac:dyDescent="0.25">
      <c r="A43" s="5" t="s">
        <v>160</v>
      </c>
      <c r="B43" s="5" t="s">
        <v>161</v>
      </c>
      <c r="C43" s="5" t="str">
        <f ca="1">IFERROR(__xludf.DUMMYFUNCTION("AI(""snyonyms of word in column A"")"),"bland, vapid, dull, tasteless")</f>
        <v>bland, vapid, dull, tasteless</v>
      </c>
      <c r="D43" s="5" t="str">
        <f ca="1">IFERROR(__xludf.DUMMYFUNCTION("AI(""Use word from column A in short example sentence"")"),"The chef realized the soup was insipid and needed a pinch of salt to bring out the flavor.")</f>
        <v>The chef realized the soup was insipid and needed a pinch of salt to bring out the flavor.</v>
      </c>
      <c r="E43" s="5"/>
      <c r="F43" s="5"/>
      <c r="G43" s="5"/>
      <c r="H43" s="5"/>
      <c r="I43" s="5"/>
      <c r="J43" s="5"/>
      <c r="K43" s="5"/>
      <c r="L43" s="5"/>
      <c r="M43" s="5"/>
      <c r="N43" s="5"/>
      <c r="O43" s="5"/>
      <c r="P43" s="5"/>
      <c r="Q43" s="5"/>
      <c r="R43" s="5"/>
      <c r="S43" s="5"/>
      <c r="T43" s="5"/>
      <c r="U43" s="5"/>
      <c r="V43" s="5"/>
      <c r="W43" s="5"/>
      <c r="X43" s="5"/>
      <c r="Y43" s="5"/>
      <c r="Z43" s="5"/>
    </row>
    <row r="44" spans="1:26" ht="12.5" x14ac:dyDescent="0.25">
      <c r="A44" s="5" t="s">
        <v>162</v>
      </c>
      <c r="B44" s="5" t="s">
        <v>163</v>
      </c>
      <c r="C44" s="5" t="str">
        <f ca="1">IFERROR(__xludf.DUMMYFUNCTION("AI(""snyonyms of word in column A"")"),"insipid, flat, dull")</f>
        <v>insipid, flat, dull</v>
      </c>
      <c r="D44" s="5" t="str">
        <f ca="1">IFERROR(__xludf.DUMMYFUNCTION("AI(""Use word from column A in short example sentence"")"),"The lecture was so vapid that half the audience fell asleep.")</f>
        <v>The lecture was so vapid that half the audience fell asleep.</v>
      </c>
      <c r="E44" s="5"/>
      <c r="F44" s="5"/>
      <c r="G44" s="5"/>
      <c r="H44" s="5"/>
      <c r="I44" s="5"/>
      <c r="J44" s="5"/>
      <c r="K44" s="5"/>
      <c r="L44" s="5"/>
      <c r="M44" s="5"/>
      <c r="N44" s="5"/>
      <c r="O44" s="5"/>
      <c r="P44" s="5"/>
      <c r="Q44" s="5"/>
      <c r="R44" s="5"/>
      <c r="S44" s="5"/>
      <c r="T44" s="5"/>
      <c r="U44" s="5"/>
      <c r="V44" s="5"/>
      <c r="W44" s="5"/>
      <c r="X44" s="5"/>
      <c r="Y44" s="5"/>
      <c r="Z44" s="5"/>
    </row>
    <row r="45" spans="1:26" ht="12.5" x14ac:dyDescent="0.25">
      <c r="A45" s="5" t="s">
        <v>167</v>
      </c>
      <c r="B45" s="5" t="s">
        <v>168</v>
      </c>
      <c r="C45" s="5" t="str">
        <f ca="1">IFERROR(__xludf.DUMMYFUNCTION("AI(""snyonyms of word in column A"")"),"talkative, garrulous, voluble")</f>
        <v>talkative, garrulous, voluble</v>
      </c>
      <c r="D45" s="5" t="str">
        <f ca="1">IFERROR(__xludf.DUMMYFUNCTION("AI(""Use word from column A in short example sentence"")"),"The loquacious tour guide shared endless stories during the entire bus ride.")</f>
        <v>The loquacious tour guide shared endless stories during the entire bus ride.</v>
      </c>
      <c r="E45" s="5"/>
      <c r="F45" s="5"/>
      <c r="G45" s="5"/>
      <c r="H45" s="5"/>
      <c r="I45" s="5"/>
      <c r="J45" s="5"/>
      <c r="K45" s="5"/>
      <c r="L45" s="5"/>
      <c r="M45" s="5"/>
      <c r="N45" s="5"/>
      <c r="O45" s="5"/>
      <c r="P45" s="5"/>
      <c r="Q45" s="5"/>
      <c r="R45" s="5"/>
      <c r="S45" s="5"/>
      <c r="T45" s="5"/>
      <c r="U45" s="5"/>
      <c r="V45" s="5"/>
      <c r="W45" s="5"/>
      <c r="X45" s="5"/>
      <c r="Y45" s="5"/>
      <c r="Z45" s="5"/>
    </row>
    <row r="46" spans="1:26" ht="12.5" x14ac:dyDescent="0.25">
      <c r="A46" s="5" t="s">
        <v>171</v>
      </c>
      <c r="B46" s="5" t="s">
        <v>173</v>
      </c>
      <c r="C46" s="5" t="str">
        <f ca="1">IFERROR(__xludf.DUMMYFUNCTION("AI(""snyonyms of word in column A"")"),"wordy, long-winded, garrulous")</f>
        <v>wordy, long-winded, garrulous</v>
      </c>
      <c r="D46" s="5" t="str">
        <f ca="1">IFERROR(__xludf.DUMMYFUNCTION("AI(""Use word from column A in short example sentence"")"),"His verbose explanation turned a simple two-minute update into a tedious hour-long meeting.")</f>
        <v>His verbose explanation turned a simple two-minute update into a tedious hour-long meeting.</v>
      </c>
      <c r="E46" s="5"/>
      <c r="F46" s="5"/>
      <c r="G46" s="5"/>
      <c r="H46" s="5"/>
      <c r="I46" s="5"/>
      <c r="J46" s="5"/>
      <c r="K46" s="5"/>
      <c r="L46" s="5"/>
      <c r="M46" s="5"/>
      <c r="N46" s="5"/>
      <c r="O46" s="5"/>
      <c r="P46" s="5"/>
      <c r="Q46" s="5"/>
      <c r="R46" s="5"/>
      <c r="S46" s="5"/>
      <c r="T46" s="5"/>
      <c r="U46" s="5"/>
      <c r="V46" s="5"/>
      <c r="W46" s="5"/>
      <c r="X46" s="5"/>
      <c r="Y46" s="5"/>
      <c r="Z46" s="5"/>
    </row>
    <row r="47" spans="1:26" ht="12.5" x14ac:dyDescent="0.25">
      <c r="A47" s="5" t="s">
        <v>176</v>
      </c>
      <c r="B47" s="5" t="s">
        <v>177</v>
      </c>
      <c r="C47" s="5" t="str">
        <f ca="1">IFERROR(__xludf.DUMMYFUNCTION("AI(""snyonyms of word in column A"")"),"talkative, loquacious, garrulous")</f>
        <v>talkative, loquacious, garrulous</v>
      </c>
      <c r="D47" s="5" t="str">
        <f ca="1">IFERROR(__xludf.DUMMYFUNCTION("AI(""Use word from column A in short example sentence"")"),"The voluble politician spoke for over an hour without ever pausing or losing his train of thought.")</f>
        <v>The voluble politician spoke for over an hour without ever pausing or losing his train of thought.</v>
      </c>
      <c r="E47" s="5"/>
      <c r="F47" s="5"/>
      <c r="G47" s="5"/>
      <c r="H47" s="5"/>
      <c r="I47" s="5"/>
      <c r="J47" s="5"/>
      <c r="K47" s="5"/>
      <c r="L47" s="5"/>
      <c r="M47" s="5"/>
      <c r="N47" s="5"/>
      <c r="O47" s="5"/>
      <c r="P47" s="5"/>
      <c r="Q47" s="5"/>
      <c r="R47" s="5"/>
      <c r="S47" s="5"/>
      <c r="T47" s="5"/>
      <c r="U47" s="5"/>
      <c r="V47" s="5"/>
      <c r="W47" s="5"/>
      <c r="X47" s="5"/>
      <c r="Y47" s="5"/>
      <c r="Z47" s="5"/>
    </row>
    <row r="48" spans="1:26" ht="12.5" x14ac:dyDescent="0.25">
      <c r="A48" s="5" t="s">
        <v>180</v>
      </c>
      <c r="B48" s="5" t="s">
        <v>181</v>
      </c>
      <c r="C48" s="5" t="str">
        <f ca="1">IFERROR(__xludf.DUMMYFUNCTION("AI(""snyonyms of word in column A"")"),"talkative, loquacious, voluble")</f>
        <v>talkative, loquacious, voluble</v>
      </c>
      <c r="D48" s="5" t="str">
        <f ca="1">IFERROR(__xludf.DUMMYFUNCTION("AI(""Use word from column A in short example sentence"")"),"The garrulous passenger next to me spoke non-stop about his vacation plans.")</f>
        <v>The garrulous passenger next to me spoke non-stop about his vacation plans.</v>
      </c>
      <c r="E48" s="5"/>
      <c r="F48" s="5"/>
      <c r="G48" s="5"/>
      <c r="H48" s="5"/>
      <c r="I48" s="5"/>
      <c r="J48" s="5"/>
      <c r="K48" s="5"/>
      <c r="L48" s="5"/>
      <c r="M48" s="5"/>
      <c r="N48" s="5"/>
      <c r="O48" s="5"/>
      <c r="P48" s="5"/>
      <c r="Q48" s="5"/>
      <c r="R48" s="5"/>
      <c r="S48" s="5"/>
      <c r="T48" s="5"/>
      <c r="U48" s="5"/>
      <c r="V48" s="5"/>
      <c r="W48" s="5"/>
      <c r="X48" s="5"/>
      <c r="Y48" s="5"/>
      <c r="Z48" s="5"/>
    </row>
    <row r="49" spans="1:26" ht="12.5" x14ac:dyDescent="0.25">
      <c r="A49" s="5" t="s">
        <v>184</v>
      </c>
      <c r="B49" s="5" t="s">
        <v>185</v>
      </c>
      <c r="C49" s="5" t="str">
        <f ca="1">IFERROR(__xludf.DUMMYFUNCTION("AI(""snyonyms of word in column A"")"),"antisocial, cynical, unfriendly")</f>
        <v>antisocial, cynical, unfriendly</v>
      </c>
      <c r="D49" s="5" t="str">
        <f ca="1">IFERROR(__xludf.DUMMYFUNCTION("AI(""Use word from column A in short example sentence"")"),"His misanthropic nature made him avoid all social gatherings.")</f>
        <v>His misanthropic nature made him avoid all social gatherings.</v>
      </c>
      <c r="E49" s="5"/>
      <c r="F49" s="5"/>
      <c r="G49" s="5"/>
      <c r="H49" s="5"/>
      <c r="I49" s="5"/>
      <c r="J49" s="5"/>
      <c r="K49" s="5"/>
      <c r="L49" s="5"/>
      <c r="M49" s="5"/>
      <c r="N49" s="5"/>
      <c r="O49" s="5"/>
      <c r="P49" s="5"/>
      <c r="Q49" s="5"/>
      <c r="R49" s="5"/>
      <c r="S49" s="5"/>
      <c r="T49" s="5"/>
      <c r="U49" s="5"/>
      <c r="V49" s="5"/>
      <c r="W49" s="5"/>
      <c r="X49" s="5"/>
      <c r="Y49" s="5"/>
      <c r="Z49" s="5"/>
    </row>
    <row r="50" spans="1:26" ht="12.5" x14ac:dyDescent="0.25">
      <c r="A50" s="5" t="s">
        <v>188</v>
      </c>
      <c r="B50" s="5" t="s">
        <v>189</v>
      </c>
      <c r="C50" s="5" t="str">
        <f ca="1">IFERROR(__xludf.DUMMYFUNCTION("AI(""snyonyms of word in column A"")"),"misnaming, malapropism, miscalling")</f>
        <v>misnaming, malapropism, miscalling</v>
      </c>
      <c r="D50" s="5" t="str">
        <f ca="1">IFERROR(__xludf.DUMMYFUNCTION("AI(""Use word from column A in short example sentence"")"),"Calling a whale a fish is a common misnomer because whales are actually mammals.")</f>
        <v>Calling a whale a fish is a common misnomer because whales are actually mammals.</v>
      </c>
      <c r="E50" s="5"/>
      <c r="F50" s="5"/>
      <c r="G50" s="5"/>
      <c r="H50" s="5"/>
      <c r="I50" s="5"/>
      <c r="J50" s="5"/>
      <c r="K50" s="5"/>
      <c r="L50" s="5"/>
      <c r="M50" s="5"/>
      <c r="N50" s="5"/>
      <c r="O50" s="5"/>
      <c r="P50" s="5"/>
      <c r="Q50" s="5"/>
      <c r="R50" s="5"/>
      <c r="S50" s="5"/>
      <c r="T50" s="5"/>
      <c r="U50" s="5"/>
      <c r="V50" s="5"/>
      <c r="W50" s="5"/>
      <c r="X50" s="5"/>
      <c r="Y50" s="5"/>
      <c r="Z50" s="5"/>
    </row>
    <row r="51" spans="1:26" ht="12.5" x14ac:dyDescent="0.25">
      <c r="A51" s="5" t="s">
        <v>192</v>
      </c>
      <c r="B51" s="5" t="s">
        <v>193</v>
      </c>
      <c r="C51" s="5" t="str">
        <f ca="1">IFERROR(__xludf.DUMMYFUNCTION("AI(""snyonyms of word in column A"")"),"appease, conciliate, mollify")</f>
        <v>appease, conciliate, mollify</v>
      </c>
      <c r="D51" s="5" t="str">
        <f ca="1">IFERROR(__xludf.DUMMYFUNCTION("AI(""Use word from column A in short example sentence"")"),"The customer service representative tried to placate the angry customer by offering a full refund.")</f>
        <v>The customer service representative tried to placate the angry customer by offering a full refund.</v>
      </c>
      <c r="E51" s="5"/>
      <c r="F51" s="5"/>
      <c r="G51" s="5"/>
      <c r="H51" s="5"/>
      <c r="I51" s="5"/>
      <c r="J51" s="5"/>
      <c r="K51" s="5"/>
      <c r="L51" s="5"/>
      <c r="M51" s="5"/>
      <c r="N51" s="5"/>
      <c r="O51" s="5"/>
      <c r="P51" s="5"/>
      <c r="Q51" s="5"/>
      <c r="R51" s="5"/>
      <c r="S51" s="5"/>
      <c r="T51" s="5"/>
      <c r="U51" s="5"/>
      <c r="V51" s="5"/>
      <c r="W51" s="5"/>
      <c r="X51" s="5"/>
      <c r="Y51" s="5"/>
      <c r="Z51" s="5"/>
    </row>
    <row r="52" spans="1:26" ht="12.5" x14ac:dyDescent="0.25">
      <c r="A52" s="5" t="s">
        <v>196</v>
      </c>
      <c r="B52" s="5" t="s">
        <v>197</v>
      </c>
      <c r="C52" s="5" t="str">
        <f ca="1">IFERROR(__xludf.DUMMYFUNCTION("AI(""snyonyms of word in column A"")"),"appease, conciliate, pacify, placate")</f>
        <v>appease, conciliate, pacify, placate</v>
      </c>
      <c r="D52" s="5" t="str">
        <f ca="1">IFERROR(__xludf.DUMMYFUNCTION("AI(""Use word from column A in short example sentence"")"),"The manager tried to mollify the angry customer by offering a full refund.")</f>
        <v>The manager tried to mollify the angry customer by offering a full refund.</v>
      </c>
      <c r="E52" s="5"/>
      <c r="F52" s="5"/>
      <c r="G52" s="5"/>
      <c r="H52" s="5"/>
      <c r="I52" s="5"/>
      <c r="J52" s="5"/>
      <c r="K52" s="5"/>
      <c r="L52" s="5"/>
      <c r="M52" s="5"/>
      <c r="N52" s="5"/>
      <c r="O52" s="5"/>
      <c r="P52" s="5"/>
      <c r="Q52" s="5"/>
      <c r="R52" s="5"/>
      <c r="S52" s="5"/>
      <c r="T52" s="5"/>
      <c r="U52" s="5"/>
      <c r="V52" s="5"/>
      <c r="W52" s="5"/>
      <c r="X52" s="5"/>
      <c r="Y52" s="5"/>
      <c r="Z52" s="5"/>
    </row>
    <row r="53" spans="1:26" ht="12.5" x14ac:dyDescent="0.25">
      <c r="A53" s="5" t="s">
        <v>200</v>
      </c>
      <c r="B53" s="5" t="s">
        <v>201</v>
      </c>
      <c r="C53" s="5" t="str">
        <f ca="1">IFERROR(__xludf.DUMMYFUNCTION("AI(""snyonyms of word in column A"")"),"appease, mollify, placate")</f>
        <v>appease, mollify, placate</v>
      </c>
      <c r="D53" s="5" t="str">
        <f ca="1">IFERROR(__xludf.DUMMYFUNCTION("AI(""Use word from column A in short example sentence"")"),"The mediator attempted to conciliate the opposing factions before the protests escalated.")</f>
        <v>The mediator attempted to conciliate the opposing factions before the protests escalated.</v>
      </c>
      <c r="E53" s="5"/>
      <c r="F53" s="5"/>
      <c r="G53" s="5"/>
      <c r="H53" s="5"/>
      <c r="I53" s="5"/>
      <c r="J53" s="5"/>
      <c r="K53" s="5"/>
      <c r="L53" s="5"/>
      <c r="M53" s="5"/>
      <c r="N53" s="5"/>
      <c r="O53" s="5"/>
      <c r="P53" s="5"/>
      <c r="Q53" s="5"/>
      <c r="R53" s="5"/>
      <c r="S53" s="5"/>
      <c r="T53" s="5"/>
      <c r="U53" s="5"/>
      <c r="V53" s="5"/>
      <c r="W53" s="5"/>
      <c r="X53" s="5"/>
      <c r="Y53" s="5"/>
      <c r="Z53" s="5"/>
    </row>
    <row r="54" spans="1:26" ht="12.5" x14ac:dyDescent="0.25">
      <c r="A54" s="5" t="s">
        <v>204</v>
      </c>
      <c r="B54" s="5" t="s">
        <v>205</v>
      </c>
      <c r="C54" s="5" t="str">
        <f ca="1">IFERROR(__xludf.DUMMYFUNCTION("AI(""snyonyms of word in column A"")"),"propensity, leaning, inclination")</f>
        <v>propensity, leaning, inclination</v>
      </c>
      <c r="D54" s="5" t="str">
        <f ca="1">IFERROR(__xludf.DUMMYFUNCTION("AI(""Use word from column A in short example sentence"")"),"He has a natural proclivity for continuous learning, always seeking out new books during his spare time.")</f>
        <v>He has a natural proclivity for continuous learning, always seeking out new books during his spare time.</v>
      </c>
      <c r="E54" s="5"/>
      <c r="F54" s="5"/>
      <c r="G54" s="5"/>
      <c r="H54" s="5"/>
      <c r="I54" s="5"/>
      <c r="J54" s="5"/>
      <c r="K54" s="5"/>
      <c r="L54" s="5"/>
      <c r="M54" s="5"/>
      <c r="N54" s="5"/>
      <c r="O54" s="5"/>
      <c r="P54" s="5"/>
      <c r="Q54" s="5"/>
      <c r="R54" s="5"/>
      <c r="S54" s="5"/>
      <c r="T54" s="5"/>
      <c r="U54" s="5"/>
      <c r="V54" s="5"/>
      <c r="W54" s="5"/>
      <c r="X54" s="5"/>
      <c r="Y54" s="5"/>
      <c r="Z54" s="5"/>
    </row>
    <row r="55" spans="1:26" ht="12.5" x14ac:dyDescent="0.25">
      <c r="A55" s="5" t="s">
        <v>208</v>
      </c>
      <c r="B55" s="5" t="s">
        <v>209</v>
      </c>
      <c r="C55" s="5" t="str">
        <f ca="1">IFERROR(__xludf.DUMMYFUNCTION("AI(""snyonyms of word in column A"")"),"leaning, penchant, proclivity")</f>
        <v>leaning, penchant, proclivity</v>
      </c>
      <c r="D55" s="5" t="str">
        <f ca="1">IFERROR(__xludf.DUMMYFUNCTION("AI(""Use word from column A in short example sentence"")"),"He has a propensity to exaggerate his achievements.")</f>
        <v>He has a propensity to exaggerate his achievements.</v>
      </c>
      <c r="E55" s="5"/>
      <c r="F55" s="5"/>
      <c r="G55" s="5"/>
      <c r="H55" s="5"/>
      <c r="I55" s="5"/>
      <c r="J55" s="5"/>
      <c r="K55" s="5"/>
      <c r="L55" s="5"/>
      <c r="M55" s="5"/>
      <c r="N55" s="5"/>
      <c r="O55" s="5"/>
      <c r="P55" s="5"/>
      <c r="Q55" s="5"/>
      <c r="R55" s="5"/>
      <c r="S55" s="5"/>
      <c r="T55" s="5"/>
      <c r="U55" s="5"/>
      <c r="V55" s="5"/>
      <c r="W55" s="5"/>
      <c r="X55" s="5"/>
      <c r="Y55" s="5"/>
      <c r="Z55" s="5"/>
    </row>
    <row r="56" spans="1:26" ht="12.5" x14ac:dyDescent="0.25">
      <c r="A56" s="5" t="s">
        <v>210</v>
      </c>
      <c r="B56" s="5" t="s">
        <v>211</v>
      </c>
      <c r="C56" s="5" t="str">
        <f ca="1">IFERROR(__xludf.DUMMYFUNCTION("AI(""snyonyms of word in column A"")"),"childish, immature, juvenile")</f>
        <v>childish, immature, juvenile</v>
      </c>
      <c r="D56" s="5" t="str">
        <f ca="1">IFERROR(__xludf.DUMMYFUNCTION("AI(""Use word from column A in short example sentence"")"),"His puerile jokes failed to amuse the adults at the dinner party.")</f>
        <v>His puerile jokes failed to amuse the adults at the dinner party.</v>
      </c>
      <c r="E56" s="5"/>
      <c r="F56" s="5"/>
      <c r="G56" s="5"/>
      <c r="H56" s="5"/>
      <c r="I56" s="5"/>
      <c r="J56" s="5"/>
      <c r="K56" s="5"/>
      <c r="L56" s="5"/>
      <c r="M56" s="5"/>
      <c r="N56" s="5"/>
      <c r="O56" s="5"/>
      <c r="P56" s="5"/>
      <c r="Q56" s="5"/>
      <c r="R56" s="5"/>
      <c r="S56" s="5"/>
      <c r="T56" s="5"/>
      <c r="U56" s="5"/>
      <c r="V56" s="5"/>
      <c r="W56" s="5"/>
      <c r="X56" s="5"/>
      <c r="Y56" s="5"/>
      <c r="Z56" s="5"/>
    </row>
    <row r="57" spans="1:26" ht="12.5" x14ac:dyDescent="0.25">
      <c r="A57" s="5" t="s">
        <v>214</v>
      </c>
      <c r="B57" s="5" t="s">
        <v>215</v>
      </c>
      <c r="C57" s="5" t="str">
        <f ca="1">IFERROR(__xludf.DUMMYFUNCTION("AI(""snyonyms of word in column A"")"),"idealistic, romantic, impractical")</f>
        <v>idealistic, romantic, impractical</v>
      </c>
      <c r="D57" s="5" t="str">
        <f ca="1">IFERROR(__xludf.DUMMYFUNCTION("AI(""Use word from column A in short example sentence"")"),"Everyone told Jennifer her dream of being a Hollywood star was quixotic, but she proved them wrong when she became a successful actress.")</f>
        <v>Everyone told Jennifer her dream of being a Hollywood star was quixotic, but she proved them wrong when she became a successful actress.</v>
      </c>
      <c r="E57" s="5"/>
      <c r="F57" s="5"/>
      <c r="G57" s="5"/>
      <c r="H57" s="5"/>
      <c r="I57" s="5"/>
      <c r="J57" s="5"/>
      <c r="K57" s="5"/>
      <c r="L57" s="5"/>
      <c r="M57" s="5"/>
      <c r="N57" s="5"/>
      <c r="O57" s="5"/>
      <c r="P57" s="5"/>
      <c r="Q57" s="5"/>
      <c r="R57" s="5"/>
      <c r="S57" s="5"/>
      <c r="T57" s="5"/>
      <c r="U57" s="5"/>
      <c r="V57" s="5"/>
      <c r="W57" s="5"/>
      <c r="X57" s="5"/>
      <c r="Y57" s="5"/>
      <c r="Z57" s="5"/>
    </row>
    <row r="58" spans="1:26" ht="12.5" x14ac:dyDescent="0.25">
      <c r="A58" s="5" t="s">
        <v>216</v>
      </c>
      <c r="B58" s="5" t="s">
        <v>217</v>
      </c>
      <c r="C58" s="5" t="str">
        <f ca="1">IFERROR(__xludf.DUMMYFUNCTION("AI(""snyonyms of word in column A"")"),"wasteful, extravagant, spendthrift")</f>
        <v>wasteful, extravagant, spendthrift</v>
      </c>
      <c r="D58" s="5" t="str">
        <f ca="1">IFERROR(__xludf.DUMMYFUNCTION("AI(""Use word from column A in short example sentence"")"),"His profligate spending habits quickly depleted his entire savings.")</f>
        <v>His profligate spending habits quickly depleted his entire savings.</v>
      </c>
      <c r="E58" s="5"/>
      <c r="F58" s="5"/>
      <c r="G58" s="5"/>
      <c r="H58" s="5"/>
      <c r="I58" s="5"/>
      <c r="J58" s="5"/>
      <c r="K58" s="5"/>
      <c r="L58" s="5"/>
      <c r="M58" s="5"/>
      <c r="N58" s="5"/>
      <c r="O58" s="5"/>
      <c r="P58" s="5"/>
      <c r="Q58" s="5"/>
      <c r="R58" s="5"/>
      <c r="S58" s="5"/>
      <c r="T58" s="5"/>
      <c r="U58" s="5"/>
      <c r="V58" s="5"/>
      <c r="W58" s="5"/>
      <c r="X58" s="5"/>
      <c r="Y58" s="5"/>
      <c r="Z58" s="5"/>
    </row>
    <row r="59" spans="1:26" ht="12.5" x14ac:dyDescent="0.25">
      <c r="A59" s="5" t="s">
        <v>219</v>
      </c>
      <c r="B59" s="5" t="s">
        <v>220</v>
      </c>
      <c r="C59" s="5" t="str">
        <f ca="1">IFERROR(__xludf.DUMMYFUNCTION("AI(""snyonyms of word in column A"")"),"reserved, reticent, silent")</f>
        <v>reserved, reticent, silent</v>
      </c>
      <c r="D59" s="5" t="str">
        <f ca="1">IFERROR(__xludf.DUMMYFUNCTION("AI(""Use word from column A in short example sentence"")"),"The taciturn clerk gave only a brief nod when asked for assistance.")</f>
        <v>The taciturn clerk gave only a brief nod when asked for assistance.</v>
      </c>
      <c r="E59" s="5"/>
      <c r="F59" s="5"/>
      <c r="G59" s="5"/>
      <c r="H59" s="5"/>
      <c r="I59" s="5"/>
      <c r="J59" s="5"/>
      <c r="K59" s="5"/>
      <c r="L59" s="5"/>
      <c r="M59" s="5"/>
      <c r="N59" s="5"/>
      <c r="O59" s="5"/>
      <c r="P59" s="5"/>
      <c r="Q59" s="5"/>
      <c r="R59" s="5"/>
      <c r="S59" s="5"/>
      <c r="T59" s="5"/>
      <c r="U59" s="5"/>
      <c r="V59" s="5"/>
      <c r="W59" s="5"/>
      <c r="X59" s="5"/>
      <c r="Y59" s="5"/>
      <c r="Z59" s="5"/>
    </row>
    <row r="60" spans="1:26" ht="12.5" x14ac:dyDescent="0.25">
      <c r="A60" s="5" t="s">
        <v>222</v>
      </c>
      <c r="B60" s="5" t="s">
        <v>223</v>
      </c>
      <c r="C60" s="5" t="str">
        <f ca="1">IFERROR(__xludf.DUMMYFUNCTION("AI(""snyonyms of word in column A"")"),"reticent, taciturn, reserved")</f>
        <v>reticent, taciturn, reserved</v>
      </c>
      <c r="D60" s="5" t="str">
        <f ca="1">IFERROR(__xludf.DUMMYFUNCTION("AI(""Use word from column A in short example sentence"")"),"The suspect was unforthcoming during the police interrogation, refusing to answer any questions.")</f>
        <v>The suspect was unforthcoming during the police interrogation, refusing to answer any questions.</v>
      </c>
      <c r="E60" s="5"/>
      <c r="F60" s="5"/>
      <c r="G60" s="5"/>
      <c r="H60" s="5"/>
      <c r="I60" s="5"/>
      <c r="J60" s="5"/>
      <c r="K60" s="5"/>
      <c r="L60" s="5"/>
      <c r="M60" s="5"/>
      <c r="N60" s="5"/>
      <c r="O60" s="5"/>
      <c r="P60" s="5"/>
      <c r="Q60" s="5"/>
      <c r="R60" s="5"/>
      <c r="S60" s="5"/>
      <c r="T60" s="5"/>
      <c r="U60" s="5"/>
      <c r="V60" s="5"/>
      <c r="W60" s="5"/>
      <c r="X60" s="5"/>
      <c r="Y60" s="5"/>
      <c r="Z60" s="5"/>
    </row>
    <row r="61" spans="1:26" ht="12.5" x14ac:dyDescent="0.25">
      <c r="A61" s="5" t="s">
        <v>225</v>
      </c>
      <c r="B61" s="5" t="s">
        <v>226</v>
      </c>
      <c r="C61" s="5" t="str">
        <f ca="1">IFERROR(__xludf.DUMMYFUNCTION("AI(""snyonyms of word in column A"")"),"shy, reserved, timid")</f>
        <v>shy, reserved, timid</v>
      </c>
      <c r="D61" s="5" t="str">
        <f ca="1">IFERROR(__xludf.DUMMYFUNCTION("AI(""Use word from column A in short example sentence"")"),"Despite her retiring nature, she gave a powerful speech at the conference.")</f>
        <v>Despite her retiring nature, she gave a powerful speech at the conference.</v>
      </c>
      <c r="E61" s="5"/>
      <c r="F61" s="5"/>
      <c r="G61" s="5"/>
      <c r="H61" s="5"/>
      <c r="I61" s="5"/>
      <c r="J61" s="5"/>
      <c r="K61" s="5"/>
      <c r="L61" s="5"/>
      <c r="M61" s="5"/>
      <c r="N61" s="5"/>
      <c r="O61" s="5"/>
      <c r="P61" s="5"/>
      <c r="Q61" s="5"/>
      <c r="R61" s="5"/>
      <c r="S61" s="5"/>
      <c r="T61" s="5"/>
      <c r="U61" s="5"/>
      <c r="V61" s="5"/>
      <c r="W61" s="5"/>
      <c r="X61" s="5"/>
      <c r="Y61" s="5"/>
      <c r="Z61" s="5"/>
    </row>
    <row r="62" spans="1:26" ht="12.5" x14ac:dyDescent="0.25">
      <c r="A62" s="5" t="s">
        <v>228</v>
      </c>
      <c r="B62" s="5" t="s">
        <v>229</v>
      </c>
      <c r="C62" s="5" t="str">
        <f ca="1">IFERROR(__xludf.DUMMYFUNCTION("AI(""snyonyms of word in column A"")"),"wary, cautious, circumspect")</f>
        <v>wary, cautious, circumspect</v>
      </c>
      <c r="D62" s="5" t="str">
        <f ca="1">IFERROR(__xludf.DUMMYFUNCTION("AI(""Use word from column A in short example sentence"")"),"She was chary of signing the contract before reading the fine print.")</f>
        <v>She was chary of signing the contract before reading the fine print.</v>
      </c>
      <c r="E62" s="5"/>
      <c r="F62" s="5"/>
      <c r="G62" s="5"/>
      <c r="H62" s="5"/>
      <c r="I62" s="5"/>
      <c r="J62" s="5"/>
      <c r="K62" s="5"/>
      <c r="L62" s="5"/>
      <c r="M62" s="5"/>
      <c r="N62" s="5"/>
      <c r="O62" s="5"/>
      <c r="P62" s="5"/>
      <c r="Q62" s="5"/>
      <c r="R62" s="5"/>
      <c r="S62" s="5"/>
      <c r="T62" s="5"/>
      <c r="U62" s="5"/>
      <c r="V62" s="5"/>
      <c r="W62" s="5"/>
      <c r="X62" s="5"/>
      <c r="Y62" s="5"/>
      <c r="Z62" s="5"/>
    </row>
    <row r="63" spans="1:26" ht="25" x14ac:dyDescent="0.25">
      <c r="A63" s="5" t="s">
        <v>231</v>
      </c>
      <c r="B63" s="5" t="s">
        <v>232</v>
      </c>
      <c r="C63" s="5" t="str">
        <f ca="1">IFERROR(__xludf.DUMMYFUNCTION("AI(""snyonyms of word in column A"")"),"inappropriate, incompatible, unsuitable")</f>
        <v>inappropriate, incompatible, unsuitable</v>
      </c>
      <c r="D63" s="5" t="str">
        <f ca="1">IFERROR(__xludf.DUMMYFUNCTION("AI(""Use word from column A in short example sentence"")"),"The modern skyscraper looked incongruous standing next to the historic stone church.")</f>
        <v>The modern skyscraper looked incongruous standing next to the historic stone church.</v>
      </c>
      <c r="E63" s="5"/>
      <c r="F63" s="5"/>
      <c r="G63" s="5"/>
      <c r="H63" s="5"/>
      <c r="I63" s="5"/>
      <c r="J63" s="5"/>
      <c r="K63" s="5"/>
      <c r="L63" s="5"/>
      <c r="M63" s="5"/>
      <c r="N63" s="5"/>
      <c r="O63" s="5"/>
      <c r="P63" s="5"/>
      <c r="Q63" s="5"/>
      <c r="R63" s="5"/>
      <c r="S63" s="5"/>
      <c r="T63" s="5"/>
      <c r="U63" s="5"/>
      <c r="V63" s="5"/>
      <c r="W63" s="5"/>
      <c r="X63" s="5"/>
      <c r="Y63" s="5"/>
      <c r="Z63" s="5"/>
    </row>
    <row r="64" spans="1:26" ht="12.5" x14ac:dyDescent="0.25">
      <c r="A64" s="5" t="s">
        <v>235</v>
      </c>
      <c r="B64" s="5" t="s">
        <v>236</v>
      </c>
      <c r="C64" s="5" t="str">
        <f ca="1">IFERROR(__xludf.DUMMYFUNCTION("AI(""snyonyms of word in column A"")"),"obsequious, fawning, servile")</f>
        <v>obsequious, fawning, servile</v>
      </c>
      <c r="D64" s="5" t="str">
        <f ca="1">IFERROR(__xludf.DUMMYFUNCTION("AI(""Use word from column A in short example sentence"")"),"The manager was surrounded by sycophantic assistants who constantly praised his every decision.")</f>
        <v>The manager was surrounded by sycophantic assistants who constantly praised his every decision.</v>
      </c>
      <c r="E64" s="5"/>
      <c r="F64" s="5"/>
      <c r="G64" s="5"/>
      <c r="H64" s="5"/>
      <c r="I64" s="5"/>
      <c r="J64" s="5"/>
      <c r="K64" s="5"/>
      <c r="L64" s="5"/>
      <c r="M64" s="5"/>
      <c r="N64" s="5"/>
      <c r="O64" s="5"/>
      <c r="P64" s="5"/>
      <c r="Q64" s="5"/>
      <c r="R64" s="5"/>
      <c r="S64" s="5"/>
      <c r="T64" s="5"/>
      <c r="U64" s="5"/>
      <c r="V64" s="5"/>
      <c r="W64" s="5"/>
      <c r="X64" s="5"/>
      <c r="Y64" s="5"/>
      <c r="Z64" s="5"/>
    </row>
    <row r="65" spans="1:26" ht="12.5" x14ac:dyDescent="0.25">
      <c r="A65" s="5" t="s">
        <v>239</v>
      </c>
      <c r="B65" s="5" t="s">
        <v>240</v>
      </c>
      <c r="C65" s="5" t="str">
        <f ca="1">IFERROR(__xludf.DUMMYFUNCTION("AI(""snyonyms of word in column A"")"),"debauchery, profligacy, dissipation")</f>
        <v>debauchery, profligacy, dissipation</v>
      </c>
      <c r="D65" s="5" t="str">
        <f ca="1">IFERROR(__xludf.DUMMYFUNCTION("AI(""Use word from column A in short example sentence"")"),"The public official was widely criticized for his blatant licentiousness and lack of moral restraint.")</f>
        <v>The public official was widely criticized for his blatant licentiousness and lack of moral restraint.</v>
      </c>
      <c r="E65" s="5"/>
      <c r="F65" s="5"/>
      <c r="G65" s="5"/>
      <c r="H65" s="5"/>
      <c r="I65" s="5"/>
      <c r="J65" s="5"/>
      <c r="K65" s="5"/>
      <c r="L65" s="5"/>
      <c r="M65" s="5"/>
      <c r="N65" s="5"/>
      <c r="O65" s="5"/>
      <c r="P65" s="5"/>
      <c r="Q65" s="5"/>
      <c r="R65" s="5"/>
      <c r="S65" s="5"/>
      <c r="T65" s="5"/>
      <c r="U65" s="5"/>
      <c r="V65" s="5"/>
      <c r="W65" s="5"/>
      <c r="X65" s="5"/>
      <c r="Y65" s="5"/>
      <c r="Z65" s="5"/>
    </row>
    <row r="66" spans="1:26" ht="25" x14ac:dyDescent="0.25">
      <c r="A66" s="5" t="s">
        <v>243</v>
      </c>
      <c r="B66" s="5" t="s">
        <v>244</v>
      </c>
      <c r="C66" s="5" t="str">
        <f ca="1">IFERROR(__xludf.DUMMYFUNCTION("AI(""snyonyms of word in column A"")"),"debauchery, squandering, profligacy, waste")</f>
        <v>debauchery, squandering, profligacy, waste</v>
      </c>
      <c r="D66" s="5" t="str">
        <f ca="1">IFERROR(__xludf.DUMMYFUNCTION("AI(""Use word from column A in short example sentence"")"),"His descent into drunkenness and sexual dissipation filled his family with deep disappointment.")</f>
        <v>His descent into drunkenness and sexual dissipation filled his family with deep disappointment.</v>
      </c>
      <c r="E66" s="5"/>
      <c r="F66" s="5"/>
      <c r="G66" s="5"/>
      <c r="H66" s="5"/>
      <c r="I66" s="5"/>
      <c r="J66" s="5"/>
      <c r="K66" s="5"/>
      <c r="L66" s="5"/>
      <c r="M66" s="5"/>
      <c r="N66" s="5"/>
      <c r="O66" s="5"/>
      <c r="P66" s="5"/>
      <c r="Q66" s="5"/>
      <c r="R66" s="5"/>
      <c r="S66" s="5"/>
      <c r="T66" s="5"/>
      <c r="U66" s="5"/>
      <c r="V66" s="5"/>
      <c r="W66" s="5"/>
      <c r="X66" s="5"/>
      <c r="Y66" s="5"/>
      <c r="Z66" s="5"/>
    </row>
    <row r="67" spans="1:26" ht="12.5" x14ac:dyDescent="0.25">
      <c r="A67" s="5" t="s">
        <v>247</v>
      </c>
      <c r="B67" s="5" t="s">
        <v>248</v>
      </c>
      <c r="C67" s="5" t="str">
        <f ca="1">IFERROR(__xludf.DUMMYFUNCTION("AI(""snyonyms of word in column A"")"),"debauched, dissipated, licentious")</f>
        <v>debauched, dissipated, licentious</v>
      </c>
      <c r="D67" s="5" t="str">
        <f ca="1">IFERROR(__xludf.DUMMYFUNCTION("AI(""Use word from column A in short example sentence"")"),"His dissolute lifestyle eventually led to his financial ruin.")</f>
        <v>His dissolute lifestyle eventually led to his financial ruin.</v>
      </c>
      <c r="E67" s="5"/>
      <c r="F67" s="5"/>
      <c r="G67" s="5"/>
      <c r="H67" s="5"/>
      <c r="I67" s="5"/>
      <c r="J67" s="5"/>
      <c r="K67" s="5"/>
      <c r="L67" s="5"/>
      <c r="M67" s="5"/>
      <c r="N67" s="5"/>
      <c r="O67" s="5"/>
      <c r="P67" s="5"/>
      <c r="Q67" s="5"/>
      <c r="R67" s="5"/>
      <c r="S67" s="5"/>
      <c r="T67" s="5"/>
      <c r="U67" s="5"/>
      <c r="V67" s="5"/>
      <c r="W67" s="5"/>
      <c r="X67" s="5"/>
      <c r="Y67" s="5"/>
      <c r="Z67" s="5"/>
    </row>
    <row r="68" spans="1:26" ht="12.5" x14ac:dyDescent="0.25">
      <c r="A68" s="5" t="s">
        <v>251</v>
      </c>
      <c r="B68" s="5" t="s">
        <v>252</v>
      </c>
      <c r="C68" s="5" t="str">
        <f ca="1">IFERROR(__xludf.DUMMYFUNCTION("AI(""snyonyms of word in column A"")"),"overindulgence, excess, profligacy")</f>
        <v>overindulgence, excess, profligacy</v>
      </c>
      <c r="D68" s="5" t="str">
        <f ca="1">IFERROR(__xludf.DUMMYFUNCTION("AI(""Use word from column A in short example sentence"")"),"His intemperance in eating and drinking eventually ruined his health.")</f>
        <v>His intemperance in eating and drinking eventually ruined his health.</v>
      </c>
      <c r="E68" s="5"/>
      <c r="F68" s="5"/>
      <c r="G68" s="5"/>
      <c r="H68" s="5"/>
      <c r="I68" s="5"/>
      <c r="J68" s="5"/>
      <c r="K68" s="5"/>
      <c r="L68" s="5"/>
      <c r="M68" s="5"/>
      <c r="N68" s="5"/>
      <c r="O68" s="5"/>
      <c r="P68" s="5"/>
      <c r="Q68" s="5"/>
      <c r="R68" s="5"/>
      <c r="S68" s="5"/>
      <c r="T68" s="5"/>
      <c r="U68" s="5"/>
      <c r="V68" s="5"/>
      <c r="W68" s="5"/>
      <c r="X68" s="5"/>
      <c r="Y68" s="5"/>
      <c r="Z68" s="5"/>
    </row>
    <row r="69" spans="1:26" ht="12.5" x14ac:dyDescent="0.25">
      <c r="A69" s="5" t="s">
        <v>253</v>
      </c>
      <c r="B69" s="5" t="s">
        <v>254</v>
      </c>
      <c r="C69" s="5" t="str">
        <f ca="1">IFERROR(__xludf.DUMMYFUNCTION("AI(""snyonyms of word in column A"")"),"dissolute, lewd, debauched")</f>
        <v>dissolute, lewd, debauched</v>
      </c>
      <c r="D69" s="5" t="str">
        <f ca="1">IFERROR(__xludf.DUMMYFUNCTION("AI(""Use word from column A in short example sentence"")"),"The playboy was notorious for his rakish lifestyle and late-night antics.")</f>
        <v>The playboy was notorious for his rakish lifestyle and late-night antics.</v>
      </c>
      <c r="E69" s="5"/>
      <c r="F69" s="5"/>
      <c r="G69" s="5"/>
      <c r="H69" s="5"/>
      <c r="I69" s="5"/>
      <c r="J69" s="5"/>
      <c r="K69" s="5"/>
      <c r="L69" s="5"/>
      <c r="M69" s="5"/>
      <c r="N69" s="5"/>
      <c r="O69" s="5"/>
      <c r="P69" s="5"/>
      <c r="Q69" s="5"/>
      <c r="R69" s="5"/>
      <c r="S69" s="5"/>
      <c r="T69" s="5"/>
      <c r="U69" s="5"/>
      <c r="V69" s="5"/>
      <c r="W69" s="5"/>
      <c r="X69" s="5"/>
      <c r="Y69" s="5"/>
      <c r="Z69" s="5"/>
    </row>
    <row r="70" spans="1:26" ht="12.5" x14ac:dyDescent="0.25">
      <c r="A70" s="5" t="s">
        <v>255</v>
      </c>
      <c r="B70" s="5" t="s">
        <v>257</v>
      </c>
      <c r="C70" s="5" t="str">
        <f ca="1">IFERROR(__xludf.DUMMYFUNCTION("AI(""snyonyms of word in column A"")"),"lewd, lustful, licentious")</f>
        <v>lewd, lustful, licentious</v>
      </c>
      <c r="D70" s="5" t="str">
        <f ca="1">IFERROR(__xludf.DUMMYFUNCTION("AI(""Use word from column A in short example sentence"")"),"The court case exposed the politician's lascivious behavior, which quickly became a major public scandal.")</f>
        <v>The court case exposed the politician's lascivious behavior, which quickly became a major public scandal.</v>
      </c>
      <c r="E70" s="5"/>
      <c r="F70" s="5"/>
      <c r="G70" s="5"/>
      <c r="H70" s="5"/>
      <c r="I70" s="5"/>
      <c r="J70" s="5"/>
      <c r="K70" s="5"/>
      <c r="L70" s="5"/>
      <c r="M70" s="5"/>
      <c r="N70" s="5"/>
      <c r="O70" s="5"/>
      <c r="P70" s="5"/>
      <c r="Q70" s="5"/>
      <c r="R70" s="5"/>
      <c r="S70" s="5"/>
      <c r="T70" s="5"/>
      <c r="U70" s="5"/>
      <c r="V70" s="5"/>
      <c r="W70" s="5"/>
      <c r="X70" s="5"/>
      <c r="Y70" s="5"/>
      <c r="Z70" s="5"/>
    </row>
    <row r="71" spans="1:26" ht="12.5" x14ac:dyDescent="0.25">
      <c r="A71" s="5" t="s">
        <v>259</v>
      </c>
      <c r="B71" s="5" t="s">
        <v>261</v>
      </c>
      <c r="C71" s="5" t="str">
        <f ca="1">IFERROR(__xludf.DUMMYFUNCTION("AI(""snyonyms of word in column A"")"),"concise, terse, succinct")</f>
        <v>concise, terse, succinct</v>
      </c>
      <c r="D71" s="5" t="str">
        <f ca="1">IFERROR(__xludf.DUMMYFUNCTION("AI(""Use word from column A in short example sentence"")"),"His laconic reply made it clear he wasn't interested in a long conversation.")</f>
        <v>His laconic reply made it clear he wasn't interested in a long conversation.</v>
      </c>
      <c r="E71" s="5"/>
      <c r="F71" s="5"/>
      <c r="G71" s="5"/>
      <c r="H71" s="5"/>
      <c r="I71" s="5"/>
      <c r="J71" s="5"/>
      <c r="K71" s="5"/>
      <c r="L71" s="5"/>
      <c r="M71" s="5"/>
      <c r="N71" s="5"/>
      <c r="O71" s="5"/>
      <c r="P71" s="5"/>
      <c r="Q71" s="5"/>
      <c r="R71" s="5"/>
      <c r="S71" s="5"/>
      <c r="T71" s="5"/>
      <c r="U71" s="5"/>
      <c r="V71" s="5"/>
      <c r="W71" s="5"/>
      <c r="X71" s="5"/>
      <c r="Y71" s="5"/>
      <c r="Z71" s="5"/>
    </row>
    <row r="72" spans="1:26" ht="12.5" x14ac:dyDescent="0.25">
      <c r="A72" s="5" t="s">
        <v>263</v>
      </c>
      <c r="B72" s="5" t="str">
        <f ca="1">IFERROR(__xludf.DUMMYFUNCTION("AI(""Fill an appropriate value for this cell based on the table context"")"),"brief and full of meaning or substance")</f>
        <v>brief and full of meaning or substance</v>
      </c>
      <c r="C72" s="5" t="str">
        <f ca="1">IFERROR(__xludf.DUMMYFUNCTION("AI(""snyonyms of word in column A"")"),"concise, terse, succinct")</f>
        <v>concise, terse, succinct</v>
      </c>
      <c r="D72" s="5" t="str">
        <f ca="1">IFERROR(__xludf.DUMMYFUNCTION("AI(""Use word from column A in short example sentence"")"),"The critic praised the author's pithy observations, which captured the essence of the problem in just a few words.")</f>
        <v>The critic praised the author's pithy observations, which captured the essence of the problem in just a few words.</v>
      </c>
      <c r="E72" s="5"/>
      <c r="F72" s="5"/>
      <c r="G72" s="5"/>
      <c r="H72" s="5"/>
      <c r="I72" s="5"/>
      <c r="J72" s="5"/>
      <c r="K72" s="5"/>
      <c r="L72" s="5"/>
      <c r="M72" s="5"/>
      <c r="N72" s="5"/>
      <c r="O72" s="5"/>
      <c r="P72" s="5"/>
      <c r="Q72" s="5"/>
      <c r="R72" s="5"/>
      <c r="S72" s="5"/>
      <c r="T72" s="5"/>
      <c r="U72" s="5"/>
      <c r="V72" s="5"/>
      <c r="W72" s="5"/>
      <c r="X72" s="5"/>
      <c r="Y72" s="5"/>
      <c r="Z72" s="5"/>
    </row>
    <row r="73" spans="1:26" ht="12.5" x14ac:dyDescent="0.25">
      <c r="A73" s="5" t="s">
        <v>265</v>
      </c>
      <c r="B73" s="5" t="str">
        <f ca="1">IFERROR(__xludf.DUMMYFUNCTION("AI(""Fill an appropriate value for this cell based on the table context"")"),"abrupt or offhand in speech or manner")</f>
        <v>abrupt or offhand in speech or manner</v>
      </c>
      <c r="C73" s="5" t="str">
        <f ca="1">IFERROR(__xludf.DUMMYFUNCTION("AI(""snyonyms of word in column A"")"),"curt, abrupt, blunt")</f>
        <v>curt, abrupt, blunt</v>
      </c>
      <c r="D73" s="5" t="str">
        <f ca="1">IFERROR(__xludf.DUMMYFUNCTION("AI(""Use word from column A in short example sentence"")"),"She received a brusque reply to her email.")</f>
        <v>She received a brusque reply to her email.</v>
      </c>
      <c r="E73" s="5"/>
      <c r="F73" s="5"/>
      <c r="G73" s="5"/>
      <c r="H73" s="5"/>
      <c r="I73" s="5"/>
      <c r="J73" s="5"/>
      <c r="K73" s="5"/>
      <c r="L73" s="5"/>
      <c r="M73" s="5"/>
      <c r="N73" s="5"/>
      <c r="O73" s="5"/>
      <c r="P73" s="5"/>
      <c r="Q73" s="5"/>
      <c r="R73" s="5"/>
      <c r="S73" s="5"/>
      <c r="T73" s="5"/>
      <c r="U73" s="5"/>
      <c r="V73" s="5"/>
      <c r="W73" s="5"/>
      <c r="X73" s="5"/>
      <c r="Y73" s="5"/>
      <c r="Z73" s="5"/>
    </row>
    <row r="74" spans="1:26" ht="12.5" x14ac:dyDescent="0.25">
      <c r="A74" s="5" t="s">
        <v>268</v>
      </c>
      <c r="B74" s="5" t="str">
        <f ca="1">IFERROR(__xludf.DUMMYFUNCTION("AI(""Fill an appropriate value for this cell based on the table context"")"),"concise, clever, and witty in expression")</f>
        <v>concise, clever, and witty in expression</v>
      </c>
      <c r="C74" s="5" t="str">
        <f ca="1">IFERROR(__xludf.DUMMYFUNCTION("AI(""snyonyms of word in column A"")"),"concise, pithy, terse")</f>
        <v>concise, pithy, terse</v>
      </c>
      <c r="D74" s="5" t="str">
        <f ca="1">IFERROR(__xludf.DUMMYFUNCTION("AI(""Use word from column A in short example sentence"")"),"The author's epigrammatic style made the short story both witty and memorable.")</f>
        <v>The author's epigrammatic style made the short story both witty and memorable.</v>
      </c>
      <c r="E74" s="5"/>
      <c r="F74" s="5"/>
      <c r="G74" s="5"/>
      <c r="H74" s="5"/>
      <c r="I74" s="5"/>
      <c r="J74" s="5"/>
      <c r="K74" s="5"/>
      <c r="L74" s="5"/>
      <c r="M74" s="5"/>
      <c r="N74" s="5"/>
      <c r="O74" s="5"/>
      <c r="P74" s="5"/>
      <c r="Q74" s="5"/>
      <c r="R74" s="5"/>
      <c r="S74" s="5"/>
      <c r="T74" s="5"/>
      <c r="U74" s="5"/>
      <c r="V74" s="5"/>
      <c r="W74" s="5"/>
      <c r="X74" s="5"/>
      <c r="Y74" s="5"/>
      <c r="Z74" s="5"/>
    </row>
    <row r="75" spans="1:26" ht="12.5" x14ac:dyDescent="0.25">
      <c r="A75" s="5" t="s">
        <v>273</v>
      </c>
      <c r="B75" s="5" t="str">
        <f ca="1">IFERROR(__xludf.DUMMYFUNCTION("AI(""Fill an appropriate value for this cell based on the table context"")"),"thinking carefully about something before doing it to avoid risk")</f>
        <v>thinking carefully about something before doing it to avoid risk</v>
      </c>
      <c r="C75" s="5" t="str">
        <f ca="1">IFERROR(__xludf.DUMMYFUNCTION("AI(""snyonyms of word in column A"")"),"cautious, wary, prudent")</f>
        <v>cautious, wary, prudent</v>
      </c>
      <c r="D75" s="5" t="str">
        <f ca="1">IFERROR(__xludf.DUMMYFUNCTION("AI(""Use word from column A in short example sentence"")"),"The officials were circumspect about making any statements before the investigation was complete.")</f>
        <v>The officials were circumspect about making any statements before the investigation was complete.</v>
      </c>
      <c r="E75" s="5"/>
      <c r="F75" s="5"/>
      <c r="G75" s="5"/>
      <c r="H75" s="5"/>
      <c r="I75" s="5"/>
      <c r="J75" s="5"/>
      <c r="K75" s="5"/>
      <c r="L75" s="5"/>
      <c r="M75" s="5"/>
      <c r="N75" s="5"/>
      <c r="O75" s="5"/>
      <c r="P75" s="5"/>
      <c r="Q75" s="5"/>
      <c r="R75" s="5"/>
      <c r="S75" s="5"/>
      <c r="T75" s="5"/>
      <c r="U75" s="5"/>
      <c r="V75" s="5"/>
      <c r="W75" s="5"/>
      <c r="X75" s="5"/>
      <c r="Y75" s="5"/>
      <c r="Z75" s="5"/>
    </row>
    <row r="76" spans="1:26" ht="12.5" x14ac:dyDescent="0.25">
      <c r="A76" s="5" t="s">
        <v>276</v>
      </c>
      <c r="B76" s="5" t="str">
        <f ca="1">IFERROR(__xludf.DUMMYFUNCTION("AI(""Fill an appropriate value for this cell based on the table context"")"),"fail to keep a promise or an agreement")</f>
        <v>fail to keep a promise or an agreement</v>
      </c>
      <c r="C76" s="5" t="str">
        <f ca="1">IFERROR(__xludf.DUMMYFUNCTION("AI(""snyonyms of word in column A"")"),"back out, default, retract")</f>
        <v>back out, default, retract</v>
      </c>
      <c r="D76" s="5" t="str">
        <f ca="1">IFERROR(__xludf.DUMMYFUNCTION("AI(""Use word from column A in short example sentence"")"),"The company decided to renege on its agreement after the market conditions changed.")</f>
        <v>The company decided to renege on its agreement after the market conditions changed.</v>
      </c>
      <c r="E76" s="5"/>
      <c r="F76" s="5"/>
      <c r="G76" s="5"/>
      <c r="H76" s="5"/>
      <c r="I76" s="5"/>
      <c r="J76" s="5"/>
      <c r="K76" s="5"/>
      <c r="L76" s="5"/>
      <c r="M76" s="5"/>
      <c r="N76" s="5"/>
      <c r="O76" s="5"/>
      <c r="P76" s="5"/>
      <c r="Q76" s="5"/>
      <c r="R76" s="5"/>
      <c r="S76" s="5"/>
      <c r="T76" s="5"/>
      <c r="U76" s="5"/>
      <c r="V76" s="5"/>
      <c r="W76" s="5"/>
      <c r="X76" s="5"/>
      <c r="Y76" s="5"/>
      <c r="Z76" s="5"/>
    </row>
    <row r="77" spans="1:26" ht="25" x14ac:dyDescent="0.25">
      <c r="A77" s="5" t="s">
        <v>279</v>
      </c>
      <c r="B77" s="5" t="s">
        <v>280</v>
      </c>
      <c r="C77" s="5" t="str">
        <f ca="1">IFERROR(__xludf.DUMMYFUNCTION("AI(""snyonyms of word in column A"")"),"pretend, feign, fake")</f>
        <v>pretend, feign, fake</v>
      </c>
      <c r="D77" s="5" t="str">
        <f ca="1">IFERROR(__xludf.DUMMYFUNCTION("AI(""Use word from column A in short example sentence"")"),"She began to affect a British accent after spending just one week in London.")</f>
        <v>She began to affect a British accent after spending just one week in London.</v>
      </c>
      <c r="E77" s="5"/>
      <c r="F77" s="5"/>
      <c r="G77" s="5"/>
      <c r="H77" s="5"/>
      <c r="I77" s="5"/>
      <c r="J77" s="5"/>
      <c r="K77" s="5"/>
      <c r="L77" s="5"/>
      <c r="M77" s="5"/>
      <c r="N77" s="5"/>
      <c r="O77" s="5"/>
      <c r="P77" s="5"/>
      <c r="Q77" s="5"/>
      <c r="R77" s="5"/>
      <c r="S77" s="5"/>
      <c r="T77" s="5"/>
      <c r="U77" s="5"/>
      <c r="V77" s="5"/>
      <c r="W77" s="5"/>
      <c r="X77" s="5"/>
      <c r="Y77" s="5"/>
      <c r="Z77" s="5"/>
    </row>
    <row r="78" spans="1:26" ht="12.5" x14ac:dyDescent="0.25">
      <c r="A78" s="5" t="s">
        <v>283</v>
      </c>
      <c r="B78" s="5" t="str">
        <f ca="1">IFERROR(__xludf.DUMMYFUNCTION("AI(""Fill an appropriate value for this cell based on the table context"")"),"excessively greedy or grasping")</f>
        <v>excessively greedy or grasping</v>
      </c>
      <c r="C78" s="5" t="str">
        <f ca="1">IFERROR(__xludf.DUMMYFUNCTION("AI(""snyonyms of word in column A"")"),"greedy, grasping, avaricious")</f>
        <v>greedy, grasping, avaricious</v>
      </c>
      <c r="D78" s="5" t="str">
        <f ca="1">IFERROR(__xludf.DUMMYFUNCTION("AI(""Use word from column A in short example sentence"")"),"The rapacious landlord raised the rent every year without making any repairs to the building.")</f>
        <v>The rapacious landlord raised the rent every year without making any repairs to the building.</v>
      </c>
      <c r="E78" s="5"/>
      <c r="F78" s="5"/>
      <c r="G78" s="5"/>
      <c r="H78" s="5"/>
      <c r="I78" s="5"/>
      <c r="J78" s="5"/>
      <c r="K78" s="5"/>
      <c r="L78" s="5"/>
      <c r="M78" s="5"/>
      <c r="N78" s="5"/>
      <c r="O78" s="5"/>
      <c r="P78" s="5"/>
      <c r="Q78" s="5"/>
      <c r="R78" s="5"/>
      <c r="S78" s="5"/>
      <c r="T78" s="5"/>
      <c r="U78" s="5"/>
      <c r="V78" s="5"/>
      <c r="W78" s="5"/>
      <c r="X78" s="5"/>
      <c r="Y78" s="5"/>
      <c r="Z78" s="5"/>
    </row>
    <row r="79" spans="1:26" ht="12.5" x14ac:dyDescent="0.25">
      <c r="A79" s="5" t="s">
        <v>286</v>
      </c>
      <c r="B79" s="5" t="str">
        <f ca="1">IFERROR(__xludf.DUMMYFUNCTION("AI(""Fill an appropriate value for this cell based on the table context"")"),"capable of working a long time without tiring; tireless")</f>
        <v>capable of working a long time without tiring; tireless</v>
      </c>
      <c r="C79" s="5" t="str">
        <f ca="1">IFERROR(__xludf.DUMMYFUNCTION("AI(""snyonyms of word in column A"")"),"tireless, relentless, untiring")</f>
        <v>tireless, relentless, untiring</v>
      </c>
      <c r="D79" s="5" t="str">
        <f ca="1">IFERROR(__xludf.DUMMYFUNCTION("AI(""Use word from column A in short example sentence"")"),"The director of the homeless shelter is an indefatigable woman who works almost eighteen hours every day.")</f>
        <v>The director of the homeless shelter is an indefatigable woman who works almost eighteen hours every day.</v>
      </c>
      <c r="E79" s="5"/>
      <c r="F79" s="5"/>
      <c r="G79" s="5"/>
      <c r="H79" s="5"/>
      <c r="I79" s="5"/>
      <c r="J79" s="5"/>
      <c r="K79" s="5"/>
      <c r="L79" s="5"/>
      <c r="M79" s="5"/>
      <c r="N79" s="5"/>
      <c r="O79" s="5"/>
      <c r="P79" s="5"/>
      <c r="Q79" s="5"/>
      <c r="R79" s="5"/>
      <c r="S79" s="5"/>
      <c r="T79" s="5"/>
      <c r="U79" s="5"/>
      <c r="V79" s="5"/>
      <c r="W79" s="5"/>
      <c r="X79" s="5"/>
      <c r="Y79" s="5"/>
      <c r="Z79" s="5"/>
    </row>
    <row r="80" spans="1:26" ht="12.5" x14ac:dyDescent="0.25">
      <c r="A80" s="5" t="s">
        <v>289</v>
      </c>
      <c r="B80" s="5" t="str">
        <f ca="1">IFERROR(__xludf.DUMMYFUNCTION("AI(""Fill an appropriate value for this cell based on the table context"")"),"sleepy or drowsy")</f>
        <v>sleepy or drowsy</v>
      </c>
      <c r="C80" s="5" t="str">
        <f ca="1">IFERROR(__xludf.DUMMYFUNCTION("AI(""snyonyms of word in column A"")"),"drowsy, sleepy, tired")</f>
        <v>drowsy, sleepy, tired</v>
      </c>
      <c r="D80" s="5" t="str">
        <f ca="1">IFERROR(__xludf.DUMMYFUNCTION("AI(""Use word from column A in short example sentence"")"),"The somnolent driver decided to pull over and rest for an hour.")</f>
        <v>The somnolent driver decided to pull over and rest for an hour.</v>
      </c>
      <c r="E80" s="5"/>
      <c r="F80" s="5"/>
      <c r="G80" s="5"/>
      <c r="H80" s="5"/>
      <c r="I80" s="5"/>
      <c r="J80" s="5"/>
      <c r="K80" s="5"/>
      <c r="L80" s="5"/>
      <c r="M80" s="5"/>
      <c r="N80" s="5"/>
      <c r="O80" s="5"/>
      <c r="P80" s="5"/>
      <c r="Q80" s="5"/>
      <c r="R80" s="5"/>
      <c r="S80" s="5"/>
      <c r="T80" s="5"/>
      <c r="U80" s="5"/>
      <c r="V80" s="5"/>
      <c r="W80" s="5"/>
      <c r="X80" s="5"/>
      <c r="Y80" s="5"/>
      <c r="Z80" s="5"/>
    </row>
    <row r="81" spans="1:26" ht="12.5" x14ac:dyDescent="0.25">
      <c r="A81" s="5" t="s">
        <v>292</v>
      </c>
      <c r="B81" s="5" t="str">
        <f ca="1">IFERROR(__xludf.DUMMYFUNCTION("AI(""Fill an appropriate value for this cell based on the table context"")"),"never weakening or tiring; tireless")</f>
        <v>never weakening or tiring; tireless</v>
      </c>
      <c r="C81" s="5" t="str">
        <f ca="1">IFERROR(__xludf.DUMMYFUNCTION("AI(""snyonyms of word in column A"")"),"tireless, indefatigable, untiring")</f>
        <v>tireless, indefatigable, untiring</v>
      </c>
      <c r="D81" s="5" t="str">
        <f ca="1">IFERROR(__xludf.DUMMYFUNCTION("AI(""Use word from column A in short example sentence"")"),"Despite facing fierce criticism, the volunteer's unflagging dedication to the mission never wavered.")</f>
        <v>Despite facing fierce criticism, the volunteer's unflagging dedication to the mission never wavered.</v>
      </c>
      <c r="E81" s="5"/>
      <c r="F81" s="5"/>
      <c r="G81" s="5"/>
      <c r="H81" s="5"/>
      <c r="I81" s="5"/>
      <c r="J81" s="5"/>
      <c r="K81" s="5"/>
      <c r="L81" s="5"/>
      <c r="M81" s="5"/>
      <c r="N81" s="5"/>
      <c r="O81" s="5"/>
      <c r="P81" s="5"/>
      <c r="Q81" s="5"/>
      <c r="R81" s="5"/>
      <c r="S81" s="5"/>
      <c r="T81" s="5"/>
      <c r="U81" s="5"/>
      <c r="V81" s="5"/>
      <c r="W81" s="5"/>
      <c r="X81" s="5"/>
      <c r="Y81" s="5"/>
      <c r="Z81" s="5"/>
    </row>
    <row r="82" spans="1:26" ht="12.5" x14ac:dyDescent="0.25">
      <c r="A82" s="5" t="s">
        <v>295</v>
      </c>
      <c r="B82" s="5" t="str">
        <f ca="1">IFERROR(__xludf.DUMMYFUNCTION("AI(""Fill an appropriate value for this cell based on the table context"")"),"causing or tending to cause sleep")</f>
        <v>causing or tending to cause sleep</v>
      </c>
      <c r="C82" s="5" t="str">
        <f ca="1">IFERROR(__xludf.DUMMYFUNCTION("AI(""snyonyms of word in column A"")"),"sleep-inducing, somnolent, sedative")</f>
        <v>sleep-inducing, somnolent, sedative</v>
      </c>
      <c r="D82" s="5" t="str">
        <f ca="1">IFERROR(__xludf.DUMMYFUNCTION("AI(""Use word from column A in short example sentence"")"),"The professor's boring lecture had a soporific effect on the students.")</f>
        <v>The professor's boring lecture had a soporific effect on the students.</v>
      </c>
      <c r="E82" s="5"/>
      <c r="F82" s="5"/>
      <c r="G82" s="5"/>
      <c r="H82" s="5"/>
      <c r="I82" s="5"/>
      <c r="J82" s="5"/>
      <c r="K82" s="5"/>
      <c r="L82" s="5"/>
      <c r="M82" s="5"/>
      <c r="N82" s="5"/>
      <c r="O82" s="5"/>
      <c r="P82" s="5"/>
      <c r="Q82" s="5"/>
      <c r="R82" s="5"/>
      <c r="S82" s="5"/>
      <c r="T82" s="5"/>
      <c r="U82" s="5"/>
      <c r="V82" s="5"/>
      <c r="W82" s="5"/>
      <c r="X82" s="5"/>
      <c r="Y82" s="5"/>
      <c r="Z82" s="5"/>
    </row>
    <row r="83" spans="1:26" ht="12.5" x14ac:dyDescent="0.25">
      <c r="A83" s="5" t="s">
        <v>297</v>
      </c>
      <c r="B83" s="5" t="str">
        <f ca="1">IFERROR(__xludf.DUMMYFUNCTION("AI(""Fill an appropriate value for this cell based on the table context"")"),"increase the power, wealth, or status of something, or make it appear greater")</f>
        <v>increase the power, wealth, or status of something, or make it appear greater</v>
      </c>
      <c r="C83" s="5" t="str">
        <f ca="1">IFERROR(__xludf.DUMMYFUNCTION("AI(""snyonyms of word in column A"")"),"exalt, glorify, magnify")</f>
        <v>exalt, glorify, magnify</v>
      </c>
      <c r="D83" s="5" t="str">
        <f ca="1">IFERROR(__xludf.DUMMYFUNCTION("AI(""Use word from column A in short example sentence"")"),"Joseph always dropped the names of the famous people his father knew as a way to aggrandize his personal stature.")</f>
        <v>Joseph always dropped the names of the famous people his father knew as a way to aggrandize his personal stature.</v>
      </c>
      <c r="E83" s="5"/>
      <c r="F83" s="5"/>
      <c r="G83" s="5"/>
      <c r="H83" s="5"/>
      <c r="I83" s="5"/>
      <c r="J83" s="5"/>
      <c r="K83" s="5"/>
      <c r="L83" s="5"/>
      <c r="M83" s="5"/>
      <c r="N83" s="5"/>
      <c r="O83" s="5"/>
      <c r="P83" s="5"/>
      <c r="Q83" s="5"/>
      <c r="R83" s="5"/>
      <c r="S83" s="5"/>
      <c r="T83" s="5"/>
      <c r="U83" s="5"/>
      <c r="V83" s="5"/>
      <c r="W83" s="5"/>
      <c r="X83" s="5"/>
      <c r="Y83" s="5"/>
      <c r="Z83" s="5"/>
    </row>
    <row r="84" spans="1:26" ht="12.5" x14ac:dyDescent="0.25">
      <c r="A84" s="5" t="s">
        <v>300</v>
      </c>
      <c r="B84" s="5" t="s">
        <v>302</v>
      </c>
      <c r="C84" s="5" t="str">
        <f ca="1">IFERROR(__xludf.DUMMYFUNCTION("AI(""snyonyms of word in column A"")"),"readiness, eagerness, willingness")</f>
        <v>readiness, eagerness, willingness</v>
      </c>
      <c r="D84" s="5" t="str">
        <f ca="1">IFERROR(__xludf.DUMMYFUNCTION("AI(""Use word from column A in short example sentence"")"),"She accepted the invitation with alacrity.")</f>
        <v>She accepted the invitation with alacrity.</v>
      </c>
      <c r="E84" s="5"/>
      <c r="F84" s="5"/>
      <c r="G84" s="5"/>
      <c r="H84" s="5"/>
      <c r="I84" s="5"/>
      <c r="J84" s="5"/>
      <c r="K84" s="5"/>
      <c r="L84" s="5"/>
      <c r="M84" s="5"/>
      <c r="N84" s="5"/>
      <c r="O84" s="5"/>
      <c r="P84" s="5"/>
      <c r="Q84" s="5"/>
      <c r="R84" s="5"/>
      <c r="S84" s="5"/>
      <c r="T84" s="5"/>
      <c r="U84" s="5"/>
      <c r="V84" s="5"/>
      <c r="W84" s="5"/>
      <c r="X84" s="5"/>
      <c r="Y84" s="5"/>
      <c r="Z84" s="5"/>
    </row>
    <row r="85" spans="1:26" ht="25" x14ac:dyDescent="0.25">
      <c r="A85" s="5" t="s">
        <v>304</v>
      </c>
      <c r="B85" s="5" t="s">
        <v>306</v>
      </c>
      <c r="C85" s="5" t="str">
        <f ca="1">IFERROR(__xludf.DUMMYFUNCTION("AI(""snyonyms of word in column A"")"),"ambiguous, uncertain, vague")</f>
        <v>ambiguous, uncertain, vague</v>
      </c>
      <c r="D85" s="5" t="str">
        <f ca="1">IFERROR(__xludf.DUMMYFUNCTION("AI(""Use word from column A in short example sentence"")"),"His equivocal response left everyone confused about his true intentions.")</f>
        <v>His equivocal response left everyone confused about his true intentions.</v>
      </c>
      <c r="E85" s="5"/>
      <c r="F85" s="5"/>
      <c r="G85" s="5"/>
      <c r="H85" s="5"/>
      <c r="I85" s="5"/>
      <c r="J85" s="5"/>
      <c r="K85" s="5"/>
      <c r="L85" s="5"/>
      <c r="M85" s="5"/>
      <c r="N85" s="5"/>
      <c r="O85" s="5"/>
      <c r="P85" s="5"/>
      <c r="Q85" s="5"/>
      <c r="R85" s="5"/>
      <c r="S85" s="5"/>
      <c r="T85" s="5"/>
      <c r="U85" s="5"/>
      <c r="V85" s="5"/>
      <c r="W85" s="5"/>
      <c r="X85" s="5"/>
      <c r="Y85" s="5"/>
      <c r="Z85" s="5"/>
    </row>
    <row r="86" spans="1:26" ht="12.5" x14ac:dyDescent="0.25">
      <c r="A86" s="5" t="s">
        <v>308</v>
      </c>
      <c r="B86" s="5" t="s">
        <v>310</v>
      </c>
      <c r="C86" s="5" t="str">
        <f ca="1">IFERROR(__xludf.DUMMYFUNCTION("AI(""snyonyms of word in column A"")"),"better, help, improve")</f>
        <v>better, help, improve</v>
      </c>
      <c r="D86" s="5" t="str">
        <f ca="1">IFERROR(__xludf.DUMMYFUNCTION("AI(""Use word from column A in short example sentence"")"),"The new international aid program helped to ameliorate the suffering of the refugees in the camp.")</f>
        <v>The new international aid program helped to ameliorate the suffering of the refugees in the camp.</v>
      </c>
      <c r="E86" s="5"/>
      <c r="F86" s="5"/>
      <c r="G86" s="5"/>
      <c r="H86" s="5"/>
      <c r="I86" s="5"/>
      <c r="J86" s="5"/>
      <c r="K86" s="5"/>
      <c r="L86" s="5"/>
      <c r="M86" s="5"/>
      <c r="N86" s="5"/>
      <c r="O86" s="5"/>
      <c r="P86" s="5"/>
      <c r="Q86" s="5"/>
      <c r="R86" s="5"/>
      <c r="S86" s="5"/>
      <c r="T86" s="5"/>
      <c r="U86" s="5"/>
      <c r="V86" s="5"/>
      <c r="W86" s="5"/>
      <c r="X86" s="5"/>
      <c r="Y86" s="5"/>
      <c r="Z86" s="5"/>
    </row>
    <row r="87" spans="1:26" ht="12.5" x14ac:dyDescent="0.25">
      <c r="A87" s="5" t="s">
        <v>312</v>
      </c>
      <c r="B87" s="12" t="s">
        <v>313</v>
      </c>
      <c r="C87" s="5" t="str">
        <f ca="1">IFERROR(__xludf.DUMMYFUNCTION("AI(""snyonyms of word in column A"")"),"submissive, obedient, compliant")</f>
        <v>submissive, obedient, compliant</v>
      </c>
      <c r="D87" s="5" t="str">
        <f ca="1">IFERROR(__xludf.DUMMYFUNCTION("AI(""Use word from column A in short example sentence"")"),"She was too acquiescent to challenge her manager's unfair decision.")</f>
        <v>She was too acquiescent to challenge her manager's unfair decision.</v>
      </c>
      <c r="E87" s="5"/>
      <c r="F87" s="5"/>
      <c r="G87" s="5"/>
      <c r="H87" s="5"/>
      <c r="I87" s="5"/>
      <c r="J87" s="5"/>
      <c r="K87" s="5"/>
      <c r="L87" s="5"/>
      <c r="M87" s="5"/>
      <c r="N87" s="5"/>
      <c r="O87" s="5"/>
      <c r="P87" s="5"/>
      <c r="Q87" s="5"/>
      <c r="R87" s="5"/>
      <c r="S87" s="5"/>
      <c r="T87" s="5"/>
      <c r="U87" s="5"/>
      <c r="V87" s="5"/>
      <c r="W87" s="5"/>
      <c r="X87" s="5"/>
      <c r="Y87" s="5"/>
      <c r="Z87" s="5"/>
    </row>
    <row r="88" spans="1:26" ht="12.5" x14ac:dyDescent="0.25">
      <c r="A88" s="5" t="s">
        <v>316</v>
      </c>
      <c r="B88" s="5" t="s">
        <v>317</v>
      </c>
      <c r="C88" s="5" t="str">
        <f ca="1">IFERROR(__xludf.DUMMYFUNCTION("AI(""snyonyms of word in column A"")"),"obsolete, outmoded, antiquated")</f>
        <v>obsolete, outmoded, antiquated</v>
      </c>
      <c r="D88" s="5" t="str">
        <f ca="1">IFERROR(__xludf.DUMMYFUNCTION("AI(""Use word from column A in short example sentence"")"),"His use of a typewriter in the modern office felt completely anachronistic.")</f>
        <v>His use of a typewriter in the modern office felt completely anachronistic.</v>
      </c>
      <c r="E88" s="5"/>
      <c r="F88" s="5"/>
      <c r="G88" s="5"/>
      <c r="H88" s="5"/>
      <c r="I88" s="5"/>
      <c r="J88" s="5"/>
      <c r="K88" s="5"/>
      <c r="L88" s="5"/>
      <c r="M88" s="5"/>
      <c r="N88" s="5"/>
      <c r="O88" s="5"/>
      <c r="P88" s="5"/>
      <c r="Q88" s="5"/>
      <c r="R88" s="5"/>
      <c r="S88" s="5"/>
      <c r="T88" s="5"/>
      <c r="U88" s="5"/>
      <c r="V88" s="5"/>
      <c r="W88" s="5"/>
      <c r="X88" s="5"/>
      <c r="Y88" s="5"/>
      <c r="Z88" s="5"/>
    </row>
    <row r="89" spans="1:26" ht="12.5" x14ac:dyDescent="0.25">
      <c r="A89" s="5" t="s">
        <v>320</v>
      </c>
      <c r="B89" s="5" t="s">
        <v>321</v>
      </c>
      <c r="C89" s="5" t="str">
        <f ca="1">IFERROR(__xludf.DUMMYFUNCTION("AI(""snyonyms of word in column A"")"),"prior, antecedent, preceding")</f>
        <v>prior, antecedent, preceding</v>
      </c>
      <c r="D89" s="5" t="str">
        <f ca="1">IFERROR(__xludf.DUMMYFUNCTION("AI(""Use word from column A in short example sentence"")"),"The anterior fins of the fish help it steer through the water.")</f>
        <v>The anterior fins of the fish help it steer through the water.</v>
      </c>
      <c r="E89" s="5"/>
      <c r="F89" s="5"/>
      <c r="G89" s="5"/>
      <c r="H89" s="5"/>
      <c r="I89" s="5"/>
      <c r="J89" s="5"/>
      <c r="K89" s="5"/>
      <c r="L89" s="5"/>
      <c r="M89" s="5"/>
      <c r="N89" s="5"/>
      <c r="O89" s="5"/>
      <c r="P89" s="5"/>
      <c r="Q89" s="5"/>
      <c r="R89" s="5"/>
      <c r="S89" s="5"/>
      <c r="T89" s="5"/>
      <c r="U89" s="5"/>
      <c r="V89" s="5"/>
      <c r="W89" s="5"/>
      <c r="X89" s="5"/>
      <c r="Y89" s="5"/>
      <c r="Z89" s="5"/>
    </row>
    <row r="90" spans="1:26" ht="12.5" x14ac:dyDescent="0.25">
      <c r="A90" s="5" t="s">
        <v>322</v>
      </c>
      <c r="B90" s="12" t="s">
        <v>323</v>
      </c>
      <c r="C90" s="5" t="str">
        <f ca="1">IFERROR(__xludf.DUMMYFUNCTION("AI(""snyonyms of word in column A"")"),"beneficial, salubrious, wholesome")</f>
        <v>beneficial, salubrious, wholesome</v>
      </c>
      <c r="D90" s="5" t="str">
        <f ca="1">IFERROR(__xludf.DUMMYFUNCTION("AI(""Use word from column A in short example sentence"")"),"The failed project provided a salutary lesson that helped the team succeed in their next venture.")</f>
        <v>The failed project provided a salutary lesson that helped the team succeed in their next venture.</v>
      </c>
      <c r="E90" s="5"/>
      <c r="F90" s="5"/>
      <c r="G90" s="5"/>
      <c r="H90" s="5"/>
      <c r="I90" s="5"/>
      <c r="J90" s="5"/>
      <c r="K90" s="5"/>
      <c r="L90" s="5"/>
      <c r="M90" s="5"/>
      <c r="N90" s="5"/>
      <c r="O90" s="5"/>
      <c r="P90" s="5"/>
      <c r="Q90" s="5"/>
      <c r="R90" s="5"/>
      <c r="S90" s="5"/>
      <c r="T90" s="5"/>
      <c r="U90" s="5"/>
      <c r="V90" s="5"/>
      <c r="W90" s="5"/>
      <c r="X90" s="5"/>
      <c r="Y90" s="5"/>
      <c r="Z90" s="5"/>
    </row>
    <row r="91" spans="1:26" ht="12.5" x14ac:dyDescent="0.25">
      <c r="A91" s="5" t="s">
        <v>326</v>
      </c>
      <c r="B91" s="5" t="s">
        <v>327</v>
      </c>
      <c r="C91" s="5" t="str">
        <f ca="1">IFERROR(__xludf.DUMMYFUNCTION("AI(""snyonyms of word in column A"")"),"bogus, counterfeit, phony")</f>
        <v>bogus, counterfeit, phony</v>
      </c>
      <c r="D91" s="5" t="str">
        <f ca="1">IFERROR(__xludf.DUMMYFUNCTION("AI(""Use word from column A in short example sentence"")"),"The politician's speech was filled with spurious claims that were quickly debunked by journalists.")</f>
        <v>The politician's speech was filled with spurious claims that were quickly debunked by journalists.</v>
      </c>
      <c r="E91" s="5"/>
      <c r="F91" s="5"/>
      <c r="G91" s="5"/>
      <c r="H91" s="5"/>
      <c r="I91" s="5"/>
      <c r="J91" s="5"/>
      <c r="K91" s="5"/>
      <c r="L91" s="5"/>
      <c r="M91" s="5"/>
      <c r="N91" s="5"/>
      <c r="O91" s="5"/>
      <c r="P91" s="5"/>
      <c r="Q91" s="5"/>
      <c r="R91" s="5"/>
      <c r="S91" s="5"/>
      <c r="T91" s="5"/>
      <c r="U91" s="5"/>
      <c r="V91" s="5"/>
      <c r="W91" s="5"/>
      <c r="X91" s="5"/>
      <c r="Y91" s="5"/>
      <c r="Z91" s="5"/>
    </row>
    <row r="92" spans="1:26" ht="12.5" x14ac:dyDescent="0.25">
      <c r="A92" s="5" t="s">
        <v>330</v>
      </c>
      <c r="B92" s="5" t="s">
        <v>331</v>
      </c>
      <c r="C92" s="5" t="str">
        <f ca="1">IFERROR(__xludf.DUMMYFUNCTION("AI(""snyonyms of word in column A"")"),"hackneyed, trite, commonplace")</f>
        <v>hackneyed, trite, commonplace</v>
      </c>
      <c r="D92" s="5" t="str">
        <f ca="1">IFERROR(__xludf.DUMMYFUNCTION("AI(""Use word from column A in short example sentence"")"),"The movie's plot was so banal that I fell asleep halfway through.")</f>
        <v>The movie's plot was so banal that I fell asleep halfway through.</v>
      </c>
      <c r="E92" s="5"/>
      <c r="F92" s="5"/>
      <c r="G92" s="5"/>
      <c r="H92" s="5"/>
      <c r="I92" s="5"/>
      <c r="J92" s="5"/>
      <c r="K92" s="5"/>
      <c r="L92" s="5"/>
      <c r="M92" s="5"/>
      <c r="N92" s="5"/>
      <c r="O92" s="5"/>
      <c r="P92" s="5"/>
      <c r="Q92" s="5"/>
      <c r="R92" s="5"/>
      <c r="S92" s="5"/>
      <c r="T92" s="5"/>
      <c r="U92" s="5"/>
      <c r="V92" s="5"/>
      <c r="W92" s="5"/>
      <c r="X92" s="5"/>
      <c r="Y92" s="5"/>
      <c r="Z92" s="5"/>
    </row>
    <row r="93" spans="1:26" ht="12.5" x14ac:dyDescent="0.25">
      <c r="A93" s="5" t="s">
        <v>333</v>
      </c>
      <c r="B93" s="5" t="s">
        <v>335</v>
      </c>
      <c r="C93" s="5" t="str">
        <f ca="1">IFERROR(__xludf.DUMMYFUNCTION("AI(""snyonyms of word in column A"")"),"bold, impudent, audacious")</f>
        <v>bold, impudent, audacious</v>
      </c>
      <c r="D93" s="5" t="str">
        <f ca="1">IFERROR(__xludf.DUMMYFUNCTION("AI(""Use word from column A in short example sentence"")"),"The student showed a brazen disregard for the rules by copying answers right in front of the teacher.")</f>
        <v>The student showed a brazen disregard for the rules by copying answers right in front of the teacher.</v>
      </c>
      <c r="E93" s="5"/>
      <c r="F93" s="5"/>
      <c r="G93" s="5"/>
      <c r="H93" s="5"/>
      <c r="I93" s="5"/>
      <c r="J93" s="5"/>
      <c r="K93" s="5"/>
      <c r="L93" s="5"/>
      <c r="M93" s="5"/>
      <c r="N93" s="5"/>
      <c r="O93" s="5"/>
      <c r="P93" s="5"/>
      <c r="Q93" s="5"/>
      <c r="R93" s="5"/>
      <c r="S93" s="5"/>
      <c r="T93" s="5"/>
      <c r="U93" s="5"/>
      <c r="V93" s="5"/>
      <c r="W93" s="5"/>
      <c r="X93" s="5"/>
      <c r="Y93" s="5"/>
      <c r="Z93" s="5"/>
    </row>
    <row r="94" spans="1:26" ht="12.5" x14ac:dyDescent="0.25">
      <c r="A94" s="5" t="s">
        <v>336</v>
      </c>
      <c r="B94" s="5" t="s">
        <v>337</v>
      </c>
      <c r="C94" s="5" t="str">
        <f ca="1">IFERROR(__xludf.DUMMYFUNCTION("AI(""snyonyms of word in column A"")"),"aspersion, libel, smear")</f>
        <v>aspersion, libel, smear</v>
      </c>
      <c r="D94" s="5" t="str">
        <f ca="1">IFERROR(__xludf.DUMMYFUNCTION("AI(""Use word from column A in short example sentence"")"),"The politician accused his opponent of spreading malicious calumny to ruin his reputation.")</f>
        <v>The politician accused his opponent of spreading malicious calumny to ruin his reputation.</v>
      </c>
      <c r="E94" s="5"/>
      <c r="F94" s="5"/>
      <c r="G94" s="5"/>
      <c r="H94" s="5"/>
      <c r="I94" s="5"/>
      <c r="J94" s="5"/>
      <c r="K94" s="5"/>
      <c r="L94" s="5"/>
      <c r="M94" s="5"/>
      <c r="N94" s="5"/>
      <c r="O94" s="5"/>
      <c r="P94" s="5"/>
      <c r="Q94" s="5"/>
      <c r="R94" s="5"/>
      <c r="S94" s="5"/>
      <c r="T94" s="5"/>
      <c r="U94" s="5"/>
      <c r="V94" s="5"/>
      <c r="W94" s="5"/>
      <c r="X94" s="5"/>
      <c r="Y94" s="5"/>
      <c r="Z94" s="5"/>
    </row>
    <row r="95" spans="1:26" ht="12.5" x14ac:dyDescent="0.25">
      <c r="A95" s="5" t="s">
        <v>340</v>
      </c>
      <c r="B95" s="5" t="s">
        <v>341</v>
      </c>
      <c r="C95" s="5" t="str">
        <f ca="1">IFERROR(__xludf.DUMMYFUNCTION("AI(""snyonyms of word in column A"")"),"frank, open, forthright")</f>
        <v>frank, open, forthright</v>
      </c>
      <c r="D95" s="5" t="str">
        <f ca="1">IFERROR(__xludf.DUMMYFUNCTION("AI(""Use word from column A in short example sentence"")"),"The journalist appreciated the politician's candid responses during the interview.")</f>
        <v>The journalist appreciated the politician's candid responses during the interview.</v>
      </c>
      <c r="E95" s="5"/>
      <c r="F95" s="5"/>
      <c r="G95" s="5"/>
      <c r="H95" s="5"/>
      <c r="I95" s="5"/>
      <c r="J95" s="5"/>
      <c r="K95" s="5"/>
      <c r="L95" s="5"/>
      <c r="M95" s="5"/>
      <c r="N95" s="5"/>
      <c r="O95" s="5"/>
      <c r="P95" s="5"/>
      <c r="Q95" s="5"/>
      <c r="R95" s="5"/>
      <c r="S95" s="5"/>
      <c r="T95" s="5"/>
      <c r="U95" s="5"/>
      <c r="V95" s="5"/>
      <c r="W95" s="5"/>
      <c r="X95" s="5"/>
      <c r="Y95" s="5"/>
      <c r="Z95" s="5"/>
    </row>
    <row r="96" spans="1:26" ht="12.5" x14ac:dyDescent="0.25">
      <c r="A96" s="5" t="s">
        <v>342</v>
      </c>
      <c r="B96" s="5" t="s">
        <v>343</v>
      </c>
      <c r="C96" s="5" t="str">
        <f ca="1">IFERROR(__xludf.DUMMYFUNCTION("AI(""snyonyms of word in column A"")"),"castigate, berate, scold")</f>
        <v>castigate, berate, scold</v>
      </c>
      <c r="D96" s="5" t="str">
        <f ca="1">IFERROR(__xludf.DUMMYFUNCTION("AI(""Use word from column A in short example sentence"")"),"The talk show host began to lambast the politician for his controversial comments during the debate.")</f>
        <v>The talk show host began to lambast the politician for his controversial comments during the debate.</v>
      </c>
      <c r="E96" s="5"/>
      <c r="F96" s="5"/>
      <c r="G96" s="5"/>
      <c r="H96" s="5"/>
      <c r="I96" s="5"/>
      <c r="J96" s="5"/>
      <c r="K96" s="5"/>
      <c r="L96" s="5"/>
      <c r="M96" s="5"/>
      <c r="N96" s="5"/>
      <c r="O96" s="5"/>
      <c r="P96" s="5"/>
      <c r="Q96" s="5"/>
      <c r="R96" s="5"/>
      <c r="S96" s="5"/>
      <c r="T96" s="5"/>
      <c r="U96" s="5"/>
      <c r="V96" s="5"/>
      <c r="W96" s="5"/>
      <c r="X96" s="5"/>
      <c r="Y96" s="5"/>
      <c r="Z96" s="5"/>
    </row>
    <row r="97" spans="1:26" ht="12.5" x14ac:dyDescent="0.25">
      <c r="A97" s="5" t="s">
        <v>346</v>
      </c>
      <c r="B97" s="5" t="s">
        <v>347</v>
      </c>
      <c r="C97" s="5" t="str">
        <f ca="1">IFERROR(__xludf.DUMMYFUNCTION("AI(""snyonyms of word in column A"")"),"sarcastic, scathing, mordant")</f>
        <v>sarcastic, scathing, mordant</v>
      </c>
      <c r="D97" s="5" t="str">
        <f ca="1">IFERROR(__xludf.DUMMYFUNCTION("AI(""Use word from column A in short example sentence"")"),"The critic's caustic remarks wounded the young actor's pride.")</f>
        <v>The critic's caustic remarks wounded the young actor's pride.</v>
      </c>
      <c r="E97" s="5"/>
      <c r="F97" s="5"/>
      <c r="G97" s="5"/>
      <c r="H97" s="5"/>
      <c r="I97" s="5"/>
      <c r="J97" s="5"/>
      <c r="K97" s="5"/>
      <c r="L97" s="5"/>
      <c r="M97" s="5"/>
      <c r="N97" s="5"/>
      <c r="O97" s="5"/>
      <c r="P97" s="5"/>
      <c r="Q97" s="5"/>
      <c r="R97" s="5"/>
      <c r="S97" s="5"/>
      <c r="T97" s="5"/>
      <c r="U97" s="5"/>
      <c r="V97" s="5"/>
      <c r="W97" s="5"/>
      <c r="X97" s="5"/>
      <c r="Y97" s="5"/>
      <c r="Z97" s="5"/>
    </row>
    <row r="98" spans="1:26" ht="12.5" x14ac:dyDescent="0.25">
      <c r="A98" s="5" t="s">
        <v>350</v>
      </c>
      <c r="B98" s="5" t="s">
        <v>351</v>
      </c>
      <c r="C98" s="5" t="str">
        <f ca="1">IFERROR(__xludf.DUMMYFUNCTION("AI(""snyonyms of word in column A"")"),"caustic, biting, scathing")</f>
        <v>caustic, biting, scathing</v>
      </c>
      <c r="D98" s="5" t="str">
        <f ca="1">IFERROR(__xludf.DUMMYFUNCTION("AI(""Use word from column A in short example sentence"")"),"His mordant wit made some audience members uncomfortable, but most found the sharp satire hilarious.")</f>
        <v>His mordant wit made some audience members uncomfortable, but most found the sharp satire hilarious.</v>
      </c>
      <c r="E98" s="5"/>
      <c r="F98" s="5"/>
      <c r="G98" s="5"/>
      <c r="H98" s="5"/>
      <c r="I98" s="5"/>
      <c r="J98" s="5"/>
      <c r="K98" s="5"/>
      <c r="L98" s="5"/>
      <c r="M98" s="5"/>
      <c r="N98" s="5"/>
      <c r="O98" s="5"/>
      <c r="P98" s="5"/>
      <c r="Q98" s="5"/>
      <c r="R98" s="5"/>
      <c r="S98" s="5"/>
      <c r="T98" s="5"/>
      <c r="U98" s="5"/>
      <c r="V98" s="5"/>
      <c r="W98" s="5"/>
      <c r="X98" s="5"/>
      <c r="Y98" s="5"/>
      <c r="Z98" s="5"/>
    </row>
    <row r="99" spans="1:26" ht="12.5" x14ac:dyDescent="0.25">
      <c r="A99" s="5" t="s">
        <v>354</v>
      </c>
      <c r="B99" s="5" t="s">
        <v>355</v>
      </c>
      <c r="C99" s="5" t="str">
        <f ca="1">IFERROR(__xludf.DUMMYFUNCTION("AI(""snyonyms of word in column A"")"),"interpret, clarify, explain")</f>
        <v>interpret, clarify, explain</v>
      </c>
      <c r="D99" s="5" t="str">
        <f ca="1">IFERROR(__xludf.DUMMYFUNCTION("AI(""Use word from column A in short example sentence"")"),"Some people might construe his silence as an admission of guilt.")</f>
        <v>Some people might construe his silence as an admission of guilt.</v>
      </c>
      <c r="E99" s="5"/>
      <c r="F99" s="5"/>
      <c r="G99" s="5"/>
      <c r="H99" s="5"/>
      <c r="I99" s="5"/>
      <c r="J99" s="5"/>
      <c r="K99" s="5"/>
      <c r="L99" s="5"/>
      <c r="M99" s="5"/>
      <c r="N99" s="5"/>
      <c r="O99" s="5"/>
      <c r="P99" s="5"/>
      <c r="Q99" s="5"/>
      <c r="R99" s="5"/>
      <c r="S99" s="5"/>
      <c r="T99" s="5"/>
      <c r="U99" s="5"/>
      <c r="V99" s="5"/>
      <c r="W99" s="5"/>
      <c r="X99" s="5"/>
      <c r="Y99" s="5"/>
      <c r="Z99" s="5"/>
    </row>
    <row r="100" spans="1:26" ht="12.5" x14ac:dyDescent="0.25">
      <c r="A100" s="5" t="s">
        <v>358</v>
      </c>
      <c r="B100" s="5" t="s">
        <v>359</v>
      </c>
      <c r="C100" s="5" t="str">
        <f ca="1">IFERROR(__xludf.DUMMYFUNCTION("AI(""snyonyms of word in column A"")"),"remorseful, repentant, penitent")</f>
        <v>remorseful, repentant, penitent</v>
      </c>
      <c r="D100" s="5" t="str">
        <f ca="1">IFERROR(__xludf.DUMMYFUNCTION("AI(""Use word from column A in short example sentence"")"),"He offered a contrite apology for his rude behavior.")</f>
        <v>He offered a contrite apology for his rude behavior.</v>
      </c>
      <c r="E100" s="5"/>
      <c r="F100" s="5"/>
      <c r="G100" s="5"/>
      <c r="H100" s="5"/>
      <c r="I100" s="5"/>
      <c r="J100" s="5"/>
      <c r="K100" s="5"/>
      <c r="L100" s="5"/>
      <c r="M100" s="5"/>
      <c r="N100" s="5"/>
      <c r="O100" s="5"/>
      <c r="P100" s="5"/>
      <c r="Q100" s="5"/>
      <c r="R100" s="5"/>
      <c r="S100" s="5"/>
      <c r="T100" s="5"/>
      <c r="U100" s="5"/>
      <c r="V100" s="5"/>
      <c r="W100" s="5"/>
      <c r="X100" s="5"/>
      <c r="Y100" s="5"/>
      <c r="Z100" s="5"/>
    </row>
    <row r="101" spans="1:26" ht="12.5" x14ac:dyDescent="0.25">
      <c r="A101" s="5" t="s">
        <v>362</v>
      </c>
      <c r="B101" s="5" t="s">
        <v>363</v>
      </c>
      <c r="C101" s="5" t="str">
        <f ca="1">IFERROR(__xludf.DUMMYFUNCTION("AI(""snyonyms of word in column A"")"),"winding, sinuous, tortuous")</f>
        <v>winding, sinuous, tortuous</v>
      </c>
      <c r="D101" s="5" t="str">
        <f ca="1">IFERROR(__xludf.DUMMYFUNCTION("AI(""Use word from column A in short example sentence"")"),"The river followed a serpentine path through the deep valley.")</f>
        <v>The river followed a serpentine path through the deep valley.</v>
      </c>
      <c r="E101" s="5"/>
      <c r="F101" s="5"/>
      <c r="G101" s="5"/>
      <c r="H101" s="5"/>
      <c r="I101" s="5"/>
      <c r="J101" s="5"/>
      <c r="K101" s="5"/>
      <c r="L101" s="5"/>
      <c r="M101" s="5"/>
      <c r="N101" s="5"/>
      <c r="O101" s="5"/>
      <c r="P101" s="5"/>
      <c r="Q101" s="5"/>
      <c r="R101" s="5"/>
      <c r="S101" s="5"/>
      <c r="T101" s="5"/>
      <c r="U101" s="5"/>
      <c r="V101" s="5"/>
      <c r="W101" s="5"/>
      <c r="X101" s="5"/>
      <c r="Y101" s="5"/>
      <c r="Z101" s="5"/>
    </row>
    <row r="102" spans="1:26" ht="25" x14ac:dyDescent="0.25">
      <c r="A102" s="5" t="s">
        <v>366</v>
      </c>
      <c r="B102" s="5" t="s">
        <v>367</v>
      </c>
      <c r="C102" s="5" t="str">
        <f ca="1">IFERROR(__xludf.DUMMYFUNCTION("AI(""snyonyms of word in column A"")"),"winding, serpentine, twisting")</f>
        <v>winding, serpentine, twisting</v>
      </c>
      <c r="D102" s="5" t="str">
        <f ca="1">IFERROR(__xludf.DUMMYFUNCTION("AI(""Use word from column A in short example sentence"")"),"The dancer moved across the stage in a sinuous motion that captivated the audience.")</f>
        <v>The dancer moved across the stage in a sinuous motion that captivated the audience.</v>
      </c>
      <c r="E102" s="5"/>
      <c r="F102" s="5"/>
      <c r="G102" s="5"/>
      <c r="H102" s="5"/>
      <c r="I102" s="5"/>
      <c r="J102" s="5"/>
      <c r="K102" s="5"/>
      <c r="L102" s="5"/>
      <c r="M102" s="5"/>
      <c r="N102" s="5"/>
      <c r="O102" s="5"/>
      <c r="P102" s="5"/>
      <c r="Q102" s="5"/>
      <c r="R102" s="5"/>
      <c r="S102" s="5"/>
      <c r="T102" s="5"/>
      <c r="U102" s="5"/>
      <c r="V102" s="5"/>
      <c r="W102" s="5"/>
      <c r="X102" s="5"/>
      <c r="Y102" s="5"/>
      <c r="Z102" s="5"/>
    </row>
    <row r="103" spans="1:26" ht="12.5" x14ac:dyDescent="0.25">
      <c r="A103" s="5" t="s">
        <v>368</v>
      </c>
      <c r="B103" s="5" t="s">
        <v>369</v>
      </c>
      <c r="C103" s="5" t="str">
        <f ca="1">IFERROR(__xludf.DUMMYFUNCTION("AI(""snyonyms of word in column A"")"),"roundabout, indirect, winding")</f>
        <v>roundabout, indirect, winding</v>
      </c>
      <c r="D103" s="5" t="str">
        <f ca="1">IFERROR(__xludf.DUMMYFUNCTION("AI(""Use word from column A in short example sentence"")"),"The speaker took a circuitous route to get to the main point of his lecture.")</f>
        <v>The speaker took a circuitous route to get to the main point of his lecture.</v>
      </c>
      <c r="E103" s="5"/>
      <c r="F103" s="5"/>
      <c r="G103" s="5"/>
      <c r="H103" s="5"/>
      <c r="I103" s="5"/>
      <c r="J103" s="5"/>
      <c r="K103" s="5"/>
      <c r="L103" s="5"/>
      <c r="M103" s="5"/>
      <c r="N103" s="5"/>
      <c r="O103" s="5"/>
      <c r="P103" s="5"/>
      <c r="Q103" s="5"/>
      <c r="R103" s="5"/>
      <c r="S103" s="5"/>
      <c r="T103" s="5"/>
      <c r="U103" s="5"/>
      <c r="V103" s="5"/>
      <c r="W103" s="5"/>
      <c r="X103" s="5"/>
      <c r="Y103" s="5"/>
      <c r="Z103" s="5"/>
    </row>
    <row r="104" spans="1:26" ht="12.5" x14ac:dyDescent="0.25">
      <c r="A104" s="5" t="s">
        <v>372</v>
      </c>
      <c r="B104" s="10" t="s">
        <v>373</v>
      </c>
      <c r="C104" s="5" t="str">
        <f ca="1">IFERROR(__xludf.DUMMYFUNCTION("AI(""snyonyms of word in column A"")"),"wavy, rolling, rippling")</f>
        <v>wavy, rolling, rippling</v>
      </c>
      <c r="D104" s="5" t="str">
        <f ca="1">IFERROR(__xludf.DUMMYFUNCTION("AI(""Use word from column A in short example sentence"")"),"The hills displayed an undulating landscape that stretched for miles.")</f>
        <v>The hills displayed an undulating landscape that stretched for miles.</v>
      </c>
      <c r="E104" s="5"/>
      <c r="F104" s="5"/>
      <c r="G104" s="5"/>
      <c r="H104" s="5"/>
      <c r="I104" s="5"/>
      <c r="J104" s="5"/>
      <c r="K104" s="5"/>
      <c r="L104" s="5"/>
      <c r="M104" s="5"/>
      <c r="N104" s="5"/>
      <c r="O104" s="5"/>
      <c r="P104" s="5"/>
      <c r="Q104" s="5"/>
      <c r="R104" s="5"/>
      <c r="S104" s="5"/>
      <c r="T104" s="5"/>
      <c r="U104" s="5"/>
      <c r="V104" s="5"/>
      <c r="W104" s="5"/>
      <c r="X104" s="5"/>
      <c r="Y104" s="5"/>
      <c r="Z104" s="5"/>
    </row>
    <row r="105" spans="1:26" ht="12.5" x14ac:dyDescent="0.25">
      <c r="A105" s="5" t="s">
        <v>376</v>
      </c>
      <c r="B105" s="10" t="s">
        <v>377</v>
      </c>
      <c r="C105" s="5" t="str">
        <f ca="1">IFERROR(__xludf.DUMMYFUNCTION("AI(""snyonyms of word in column A"")"),"winding, serpentine, sinuous")</f>
        <v>winding, serpentine, sinuous</v>
      </c>
      <c r="D105" s="5" t="str">
        <f ca="1">IFERROR(__xludf.DUMMYFUNCTION("AI(""Use word from column A in short example sentence"")"),"The flexuous river wound its way gracefully through the lush green valley.")</f>
        <v>The flexuous river wound its way gracefully through the lush green valley.</v>
      </c>
      <c r="E105" s="5"/>
      <c r="F105" s="5"/>
      <c r="G105" s="5"/>
      <c r="H105" s="5"/>
      <c r="I105" s="5"/>
      <c r="J105" s="5"/>
      <c r="K105" s="5"/>
      <c r="L105" s="5"/>
      <c r="M105" s="5"/>
      <c r="N105" s="5"/>
      <c r="O105" s="5"/>
      <c r="P105" s="5"/>
      <c r="Q105" s="5"/>
      <c r="R105" s="5"/>
      <c r="S105" s="5"/>
      <c r="T105" s="5"/>
      <c r="U105" s="5"/>
      <c r="V105" s="5"/>
      <c r="W105" s="5"/>
      <c r="X105" s="5"/>
      <c r="Y105" s="5"/>
      <c r="Z105" s="5"/>
    </row>
    <row r="106" spans="1:26" ht="12.5" x14ac:dyDescent="0.25">
      <c r="A106" s="5" t="s">
        <v>379</v>
      </c>
      <c r="B106" s="5" t="s">
        <v>381</v>
      </c>
      <c r="C106" s="5" t="str">
        <f ca="1">IFERROR(__xludf.DUMMYFUNCTION("AI(""snyonyms of word in column A"")"),"winding, serpentine, sly")</f>
        <v>winding, serpentine, sly</v>
      </c>
      <c r="D106" s="5" t="str">
        <f ca="1">IFERROR(__xludf.DUMMYFUNCTION("AI(""Use word from column A in short example sentence"")"),"The river followed a snaky path through the dense forest.")</f>
        <v>The river followed a snaky path through the dense forest.</v>
      </c>
      <c r="E106" s="5"/>
      <c r="F106" s="5"/>
      <c r="G106" s="5"/>
      <c r="H106" s="5"/>
      <c r="I106" s="5"/>
      <c r="J106" s="5"/>
      <c r="K106" s="5"/>
      <c r="L106" s="5"/>
      <c r="M106" s="5"/>
      <c r="N106" s="5"/>
      <c r="O106" s="5"/>
      <c r="P106" s="5"/>
      <c r="Q106" s="5"/>
      <c r="R106" s="5"/>
      <c r="S106" s="5"/>
      <c r="T106" s="5"/>
      <c r="U106" s="5"/>
      <c r="V106" s="5"/>
      <c r="W106" s="5"/>
      <c r="X106" s="5"/>
      <c r="Y106" s="5"/>
      <c r="Z106" s="5"/>
    </row>
    <row r="107" spans="1:26" ht="25" x14ac:dyDescent="0.25">
      <c r="A107" s="5" t="s">
        <v>382</v>
      </c>
      <c r="B107" s="5" t="s">
        <v>383</v>
      </c>
      <c r="C107" s="5" t="str">
        <f ca="1">IFERROR(__xludf.DUMMYFUNCTION("AI(""snyonyms of word in column A"")"),"convoluted, involved, knotty, tangled, complex")</f>
        <v>convoluted, involved, knotty, tangled, complex</v>
      </c>
      <c r="D107" s="5" t="str">
        <f ca="1">IFERROR(__xludf.DUMMYFUNCTION("AI(""Use word from column A in short example sentence"")"),"Navigating the byzantine bureaucracy of the government office took all afternoon.")</f>
        <v>Navigating the byzantine bureaucracy of the government office took all afternoon.</v>
      </c>
      <c r="E107" s="5"/>
      <c r="F107" s="5"/>
      <c r="G107" s="5"/>
      <c r="H107" s="5"/>
      <c r="I107" s="5"/>
      <c r="J107" s="5"/>
      <c r="K107" s="5"/>
      <c r="L107" s="5"/>
      <c r="M107" s="5"/>
      <c r="N107" s="5"/>
      <c r="O107" s="5"/>
      <c r="P107" s="5"/>
      <c r="Q107" s="5"/>
      <c r="R107" s="5"/>
      <c r="S107" s="5"/>
      <c r="T107" s="5"/>
      <c r="U107" s="5"/>
      <c r="V107" s="5"/>
      <c r="W107" s="5"/>
      <c r="X107" s="5"/>
      <c r="Y107" s="5"/>
      <c r="Z107" s="5"/>
    </row>
    <row r="108" spans="1:26" ht="12.5" x14ac:dyDescent="0.25">
      <c r="A108" s="5" t="s">
        <v>386</v>
      </c>
      <c r="B108" s="5" t="s">
        <v>387</v>
      </c>
      <c r="C108" s="5" t="str">
        <f ca="1">IFERROR(__xludf.DUMMYFUNCTION("AI(""snyonyms of word in column A"")"),"intricate, convoluted, byzantine")</f>
        <v>intricate, convoluted, byzantine</v>
      </c>
      <c r="D108" s="5" t="str">
        <f ca="1">IFERROR(__xludf.DUMMYFUNCTION("AI(""Use word from column A in short example sentence"")"),"The old castle had a labyrinthine network of secret passages.")</f>
        <v>The old castle had a labyrinthine network of secret passages.</v>
      </c>
      <c r="E108" s="5"/>
      <c r="F108" s="5"/>
      <c r="G108" s="5"/>
      <c r="H108" s="5"/>
      <c r="I108" s="5"/>
      <c r="J108" s="5"/>
      <c r="K108" s="5"/>
      <c r="L108" s="5"/>
      <c r="M108" s="5"/>
      <c r="N108" s="5"/>
      <c r="O108" s="5"/>
      <c r="P108" s="5"/>
      <c r="Q108" s="5"/>
      <c r="R108" s="5"/>
      <c r="S108" s="5"/>
      <c r="T108" s="5"/>
      <c r="U108" s="5"/>
      <c r="V108" s="5"/>
      <c r="W108" s="5"/>
      <c r="X108" s="5"/>
      <c r="Y108" s="5"/>
      <c r="Z108" s="5"/>
    </row>
    <row r="109" spans="1:26" ht="12.5" x14ac:dyDescent="0.25">
      <c r="A109" s="5" t="s">
        <v>390</v>
      </c>
      <c r="B109" s="5" t="s">
        <v>391</v>
      </c>
      <c r="C109" s="5" t="str">
        <f ca="1">IFERROR(__xludf.DUMMYFUNCTION("AI(""snyonyms of word in column A"")"),"dexterous, adroit, adept")</f>
        <v>dexterous, adroit, adept</v>
      </c>
      <c r="D109" s="5" t="str">
        <f ca="1">IFERROR(__xludf.DUMMYFUNCTION("AI(""Use word from column A in short example sentence"")"),"The surgeon's deft movements allowed him to complete the complicated procedure quickly and safely.")</f>
        <v>The surgeon's deft movements allowed him to complete the complicated procedure quickly and safely.</v>
      </c>
      <c r="E109" s="5"/>
      <c r="F109" s="5"/>
      <c r="G109" s="5"/>
      <c r="H109" s="5"/>
      <c r="I109" s="5"/>
      <c r="J109" s="5"/>
      <c r="K109" s="5"/>
      <c r="L109" s="5"/>
      <c r="M109" s="5"/>
      <c r="N109" s="5"/>
      <c r="O109" s="5"/>
      <c r="P109" s="5"/>
      <c r="Q109" s="5"/>
      <c r="R109" s="5"/>
      <c r="S109" s="5"/>
      <c r="T109" s="5"/>
      <c r="U109" s="5"/>
      <c r="V109" s="5"/>
      <c r="W109" s="5"/>
      <c r="X109" s="5"/>
      <c r="Y109" s="5"/>
      <c r="Z109" s="5"/>
    </row>
    <row r="110" spans="1:26" ht="12.5" x14ac:dyDescent="0.25">
      <c r="A110" s="5" t="s">
        <v>394</v>
      </c>
      <c r="B110" s="5" t="s">
        <v>395</v>
      </c>
      <c r="C110" s="5" t="str">
        <f ca="1">IFERROR(__xludf.DUMMYFUNCTION("AI(""snyonyms of word in column A"")"),"hesitate, object, vacillate")</f>
        <v>hesitate, object, vacillate</v>
      </c>
      <c r="D110" s="5" t="str">
        <f ca="1">IFERROR(__xludf.DUMMYFUNCTION("AI(""Use word from column A in short example sentence"")"),"She wanted to demur at the high price, but she bought the dress anyway.")</f>
        <v>She wanted to demur at the high price, but she bought the dress anyway.</v>
      </c>
      <c r="E110" s="5"/>
      <c r="F110" s="5"/>
      <c r="G110" s="5"/>
      <c r="H110" s="5"/>
      <c r="I110" s="5"/>
      <c r="J110" s="5"/>
      <c r="K110" s="5"/>
      <c r="L110" s="5"/>
      <c r="M110" s="5"/>
      <c r="N110" s="5"/>
      <c r="O110" s="5"/>
      <c r="P110" s="5"/>
      <c r="Q110" s="5"/>
      <c r="R110" s="5"/>
      <c r="S110" s="5"/>
      <c r="T110" s="5"/>
      <c r="U110" s="5"/>
      <c r="V110" s="5"/>
      <c r="W110" s="5"/>
      <c r="X110" s="5"/>
      <c r="Y110" s="5"/>
      <c r="Z110" s="5"/>
    </row>
    <row r="111" spans="1:26" ht="12.5" x14ac:dyDescent="0.25">
      <c r="A111" s="5" t="s">
        <v>396</v>
      </c>
      <c r="B111" s="10" t="s">
        <v>397</v>
      </c>
      <c r="C111" s="5" t="str">
        <f ca="1">IFERROR(__xludf.DUMMYFUNCTION("AI(""snyonyms of word in column A"")"),"quibble, carp, nitpick")</f>
        <v>quibble, carp, nitpick</v>
      </c>
      <c r="D111" s="5" t="str">
        <f ca="1">IFERROR(__xludf.DUMMYFUNCTION("AI(""Use word from column A in short example sentence"")"),"Instead of focusing on the main goals of the project, he chose to cavil over minor details.")</f>
        <v>Instead of focusing on the main goals of the project, he chose to cavil over minor details.</v>
      </c>
      <c r="E111" s="5"/>
      <c r="F111" s="5"/>
      <c r="G111" s="5"/>
      <c r="H111" s="5"/>
      <c r="I111" s="5"/>
      <c r="J111" s="5"/>
      <c r="K111" s="5"/>
      <c r="L111" s="5"/>
      <c r="M111" s="5"/>
      <c r="N111" s="5"/>
      <c r="O111" s="5"/>
      <c r="P111" s="5"/>
      <c r="Q111" s="5"/>
      <c r="R111" s="5"/>
      <c r="S111" s="5"/>
      <c r="T111" s="5"/>
      <c r="U111" s="5"/>
      <c r="V111" s="5"/>
      <c r="W111" s="5"/>
      <c r="X111" s="5"/>
      <c r="Y111" s="5"/>
      <c r="Z111" s="5"/>
    </row>
    <row r="112" spans="1:26" ht="12.5" x14ac:dyDescent="0.25">
      <c r="A112" s="5" t="s">
        <v>400</v>
      </c>
      <c r="B112" s="5" t="s">
        <v>401</v>
      </c>
      <c r="C112" s="5" t="str">
        <f ca="1">IFERROR(__xludf.DUMMYFUNCTION("AI(""snyonyms of word in column A"")"),"hackneyed, commonplace, banal")</f>
        <v>hackneyed, commonplace, banal</v>
      </c>
      <c r="D112" s="5" t="str">
        <f ca="1">IFERROR(__xludf.DUMMYFUNCTION("AI(""Use word from column A in short example sentence"")"),"His argument relied on trite clichés that failed to impress the audience.")</f>
        <v>His argument relied on trite clichés that failed to impress the audience.</v>
      </c>
      <c r="E112" s="5"/>
      <c r="F112" s="5"/>
      <c r="G112" s="5"/>
      <c r="H112" s="5"/>
      <c r="I112" s="5"/>
      <c r="J112" s="5"/>
      <c r="K112" s="5"/>
      <c r="L112" s="5"/>
      <c r="M112" s="5"/>
      <c r="N112" s="5"/>
      <c r="O112" s="5"/>
      <c r="P112" s="5"/>
      <c r="Q112" s="5"/>
      <c r="R112" s="5"/>
      <c r="S112" s="5"/>
      <c r="T112" s="5"/>
      <c r="U112" s="5"/>
      <c r="V112" s="5"/>
      <c r="W112" s="5"/>
      <c r="X112" s="5"/>
      <c r="Y112" s="5"/>
      <c r="Z112" s="5"/>
    </row>
    <row r="113" spans="1:26" ht="25" x14ac:dyDescent="0.25">
      <c r="A113" s="5" t="s">
        <v>402</v>
      </c>
      <c r="B113" s="5" t="s">
        <v>403</v>
      </c>
      <c r="C113" s="5" t="str">
        <f ca="1">IFERROR(__xludf.DUMMYFUNCTION("AI(""snyonyms of word in column A"")"),"trite, banal, clichéd")</f>
        <v>trite, banal, clichéd</v>
      </c>
      <c r="D113" s="5" t="str">
        <f ca="1">IFERROR(__xludf.DUMMYFUNCTION("AI(""Use word from column A in short example sentence"")"),"The movie's plot was filled with hackneyed tropes that made it entirely predictable.")</f>
        <v>The movie's plot was filled with hackneyed tropes that made it entirely predictable.</v>
      </c>
      <c r="E113" s="5"/>
      <c r="F113" s="5"/>
      <c r="G113" s="5"/>
      <c r="H113" s="5"/>
      <c r="I113" s="5"/>
      <c r="J113" s="5"/>
      <c r="K113" s="5"/>
      <c r="L113" s="5"/>
      <c r="M113" s="5"/>
      <c r="N113" s="5"/>
      <c r="O113" s="5"/>
      <c r="P113" s="5"/>
      <c r="Q113" s="5"/>
      <c r="R113" s="5"/>
      <c r="S113" s="5"/>
      <c r="T113" s="5"/>
      <c r="U113" s="5"/>
      <c r="V113" s="5"/>
      <c r="W113" s="5"/>
      <c r="X113" s="5"/>
      <c r="Y113" s="5"/>
      <c r="Z113" s="5"/>
    </row>
    <row r="114" spans="1:26" ht="12.5" x14ac:dyDescent="0.25">
      <c r="A114" s="5" t="s">
        <v>406</v>
      </c>
      <c r="B114" s="5" t="s">
        <v>407</v>
      </c>
      <c r="C114" s="5" t="str">
        <f ca="1">IFERROR(__xludf.DUMMYFUNCTION("AI(""snyonyms of word in column A"")"),"dehydrate, parch, shrivel")</f>
        <v>dehydrate, parch, shrivel</v>
      </c>
      <c r="D114" s="5" t="str">
        <f ca="1">IFERROR(__xludf.DUMMYFUNCTION("AI(""Use word from column A in short example sentence"")"),"The intense heat of the sun will desiccate the fallen fruit, turning it into a wrinkled snack.")</f>
        <v>The intense heat of the sun will desiccate the fallen fruit, turning it into a wrinkled snack.</v>
      </c>
      <c r="E114" s="5"/>
      <c r="F114" s="5"/>
      <c r="G114" s="5"/>
      <c r="H114" s="5"/>
      <c r="I114" s="5"/>
      <c r="J114" s="5"/>
      <c r="K114" s="5"/>
      <c r="L114" s="5"/>
      <c r="M114" s="5"/>
      <c r="N114" s="5"/>
      <c r="O114" s="5"/>
      <c r="P114" s="5"/>
      <c r="Q114" s="5"/>
      <c r="R114" s="5"/>
      <c r="S114" s="5"/>
      <c r="T114" s="5"/>
      <c r="U114" s="5"/>
      <c r="V114" s="5"/>
      <c r="W114" s="5"/>
      <c r="X114" s="5"/>
      <c r="Y114" s="5"/>
      <c r="Z114" s="5"/>
    </row>
    <row r="115" spans="1:26" ht="12.5" x14ac:dyDescent="0.25">
      <c r="A115" s="5" t="s">
        <v>408</v>
      </c>
      <c r="B115" s="5" t="s">
        <v>409</v>
      </c>
      <c r="C115" s="5" t="str">
        <f ca="1">IFERROR(__xludf.DUMMYFUNCTION("AI(""snyonyms of word in column A"")"),"tirade, harangue, rant")</f>
        <v>tirade, harangue, rant</v>
      </c>
      <c r="D115" s="5" t="str">
        <f ca="1">IFERROR(__xludf.DUMMYFUNCTION("AI(""Use word from column A in short example sentence"")"),"The politician launched into a long diatribe against his opponents during the debate.")</f>
        <v>The politician launched into a long diatribe against his opponents during the debate.</v>
      </c>
      <c r="E115" s="5"/>
      <c r="F115" s="5"/>
      <c r="G115" s="5"/>
      <c r="H115" s="5"/>
      <c r="I115" s="5"/>
      <c r="J115" s="5"/>
      <c r="K115" s="5"/>
      <c r="L115" s="5"/>
      <c r="M115" s="5"/>
      <c r="N115" s="5"/>
      <c r="O115" s="5"/>
      <c r="P115" s="5"/>
      <c r="Q115" s="5"/>
      <c r="R115" s="5"/>
      <c r="S115" s="5"/>
      <c r="T115" s="5"/>
      <c r="U115" s="5"/>
      <c r="V115" s="5"/>
      <c r="W115" s="5"/>
      <c r="X115" s="5"/>
      <c r="Y115" s="5"/>
      <c r="Z115" s="5"/>
    </row>
    <row r="116" spans="1:26" ht="12.5" x14ac:dyDescent="0.25">
      <c r="A116" s="5" t="s">
        <v>413</v>
      </c>
      <c r="B116" s="5" t="s">
        <v>414</v>
      </c>
      <c r="C116" s="5" t="str">
        <f ca="1">IFERROR(__xludf.DUMMYFUNCTION("AI(""snyonyms of word in column A"")"),"diatribe, harangue, rant")</f>
        <v>diatribe, harangue, rant</v>
      </c>
      <c r="D116" s="5" t="str">
        <f ca="1">IFERROR(__xludf.DUMMYFUNCTION("AI(""Use word from column A in short example sentence"")"),"The manager launched into a long tirade after the team failed to meet their deadline.")</f>
        <v>The manager launched into a long tirade after the team failed to meet their deadline.</v>
      </c>
      <c r="E116" s="5"/>
      <c r="F116" s="5"/>
      <c r="G116" s="5"/>
      <c r="H116" s="5"/>
      <c r="I116" s="5"/>
      <c r="J116" s="5"/>
      <c r="K116" s="5"/>
      <c r="L116" s="5"/>
      <c r="M116" s="5"/>
      <c r="N116" s="5"/>
      <c r="O116" s="5"/>
      <c r="P116" s="5"/>
      <c r="Q116" s="5"/>
      <c r="R116" s="5"/>
      <c r="S116" s="5"/>
      <c r="T116" s="5"/>
      <c r="U116" s="5"/>
      <c r="V116" s="5"/>
      <c r="W116" s="5"/>
      <c r="X116" s="5"/>
      <c r="Y116" s="5"/>
      <c r="Z116" s="5"/>
    </row>
    <row r="117" spans="1:26" ht="25" x14ac:dyDescent="0.25">
      <c r="A117" s="5" t="s">
        <v>416</v>
      </c>
      <c r="B117" s="5" t="s">
        <v>417</v>
      </c>
      <c r="C117" s="5" t="str">
        <f ca="1">IFERROR(__xludf.DUMMYFUNCTION("AI(""snyonyms of word in column A"")"),"rant, tirade, diatribe")</f>
        <v>rant, tirade, diatribe</v>
      </c>
      <c r="D117" s="5" t="str">
        <f ca="1">IFERROR(__xludf.DUMMYFUNCTION("AI(""Use word from column A in short example sentence"")"),"The coach delivered a long harangue to the team after their disappointing loss.")</f>
        <v>The coach delivered a long harangue to the team after their disappointing loss.</v>
      </c>
      <c r="E117" s="5"/>
      <c r="F117" s="5"/>
      <c r="G117" s="5"/>
      <c r="H117" s="5"/>
      <c r="I117" s="5"/>
      <c r="J117" s="5"/>
      <c r="K117" s="5"/>
      <c r="L117" s="5"/>
      <c r="M117" s="5"/>
      <c r="N117" s="5"/>
      <c r="O117" s="5"/>
      <c r="P117" s="5"/>
      <c r="Q117" s="5"/>
      <c r="R117" s="5"/>
      <c r="S117" s="5"/>
      <c r="T117" s="5"/>
      <c r="U117" s="5"/>
      <c r="V117" s="5"/>
      <c r="W117" s="5"/>
      <c r="X117" s="5"/>
      <c r="Y117" s="5"/>
      <c r="Z117" s="5"/>
    </row>
    <row r="118" spans="1:26" ht="12.5" x14ac:dyDescent="0.25">
      <c r="A118" s="5" t="s">
        <v>420</v>
      </c>
      <c r="B118" s="5" t="s">
        <v>421</v>
      </c>
      <c r="C118" s="5" t="str">
        <f ca="1">IFERROR(__xludf.DUMMYFUNCTION("AI(""snyonyms of word in column A"")"),"skeptical, suspicious, disbelieving")</f>
        <v>skeptical, suspicious, disbelieving</v>
      </c>
      <c r="D118" s="5" t="str">
        <f ca="1">IFERROR(__xludf.DUMMYFUNCTION("AI(""Use word from column A in short example sentence"")"),"She gave him an incredulous look when he claimed he won the lottery.")</f>
        <v>She gave him an incredulous look when he claimed he won the lottery.</v>
      </c>
      <c r="E118" s="5"/>
      <c r="F118" s="5"/>
      <c r="G118" s="5"/>
      <c r="H118" s="5"/>
      <c r="I118" s="5"/>
      <c r="J118" s="5"/>
      <c r="K118" s="5"/>
      <c r="L118" s="5"/>
      <c r="M118" s="5"/>
      <c r="N118" s="5"/>
      <c r="O118" s="5"/>
      <c r="P118" s="5"/>
      <c r="Q118" s="5"/>
      <c r="R118" s="5"/>
      <c r="S118" s="5"/>
      <c r="T118" s="5"/>
      <c r="U118" s="5"/>
      <c r="V118" s="5"/>
      <c r="W118" s="5"/>
      <c r="X118" s="5"/>
      <c r="Y118" s="5"/>
      <c r="Z118" s="5"/>
    </row>
    <row r="119" spans="1:26" ht="12.5" x14ac:dyDescent="0.25">
      <c r="A119" s="5" t="s">
        <v>424</v>
      </c>
      <c r="B119" s="5" t="s">
        <v>425</v>
      </c>
      <c r="C119" s="5" t="str">
        <f ca="1">IFERROR(__xludf.DUMMYFUNCTION("AI(""snyonyms of word in column A"")"),"naive, artless, guileless")</f>
        <v>naive, artless, guileless</v>
      </c>
      <c r="D119" s="5" t="str">
        <f ca="1">IFERROR(__xludf.DUMMYFUNCTION("AI(""Use word from column A in short example sentence"")"),"Her ingenuous nature made her trust the stranger completely.")</f>
        <v>Her ingenuous nature made her trust the stranger completely.</v>
      </c>
      <c r="E119" s="5"/>
      <c r="F119" s="5"/>
      <c r="G119" s="5"/>
      <c r="H119" s="5"/>
      <c r="I119" s="5"/>
      <c r="J119" s="5"/>
      <c r="K119" s="5"/>
      <c r="L119" s="5"/>
      <c r="M119" s="5"/>
      <c r="N119" s="5"/>
      <c r="O119" s="5"/>
      <c r="P119" s="5"/>
      <c r="Q119" s="5"/>
      <c r="R119" s="5"/>
      <c r="S119" s="5"/>
      <c r="T119" s="5"/>
      <c r="U119" s="5"/>
      <c r="V119" s="5"/>
      <c r="W119" s="5"/>
      <c r="X119" s="5"/>
      <c r="Y119" s="5"/>
      <c r="Z119" s="5"/>
    </row>
    <row r="120" spans="1:26" ht="25" x14ac:dyDescent="0.25">
      <c r="A120" s="5" t="s">
        <v>428</v>
      </c>
      <c r="B120" s="5" t="s">
        <v>429</v>
      </c>
      <c r="C120" s="5" t="str">
        <f ca="1">IFERROR(__xludf.DUMMYFUNCTION("AI(""snyonyms of word in column A"")"),"annoyance, embarrassment, mortification")</f>
        <v>annoyance, embarrassment, mortification</v>
      </c>
      <c r="D120" s="5" t="str">
        <f ca="1">IFERROR(__xludf.DUMMYFUNCTION("AI(""Use word from column A in short example sentence"")"),"Much to his chagrin, he realized he had missed the final train home.")</f>
        <v>Much to his chagrin, he realized he had missed the final train home.</v>
      </c>
      <c r="E120" s="5"/>
      <c r="F120" s="5"/>
      <c r="G120" s="5"/>
      <c r="H120" s="5"/>
      <c r="I120" s="5"/>
      <c r="J120" s="5"/>
      <c r="K120" s="5"/>
      <c r="L120" s="5"/>
      <c r="M120" s="5"/>
      <c r="N120" s="5"/>
      <c r="O120" s="5"/>
      <c r="P120" s="5"/>
      <c r="Q120" s="5"/>
      <c r="R120" s="5"/>
      <c r="S120" s="5"/>
      <c r="T120" s="5"/>
      <c r="U120" s="5"/>
      <c r="V120" s="5"/>
      <c r="W120" s="5"/>
      <c r="X120" s="5"/>
      <c r="Y120" s="5"/>
      <c r="Z120" s="5"/>
    </row>
    <row r="121" spans="1:26" ht="12.5" x14ac:dyDescent="0.25">
      <c r="A121" s="5" t="s">
        <v>430</v>
      </c>
      <c r="B121" s="5" t="s">
        <v>431</v>
      </c>
      <c r="C121" s="5" t="str">
        <f ca="1">IFERROR(__xludf.DUMMYFUNCTION("AI(""snyonyms of word in column A"")"),"frankness, openness, honesty")</f>
        <v>frankness, openness, honesty</v>
      </c>
      <c r="D121" s="5" t="str">
        <f ca="1">IFERROR(__xludf.DUMMYFUNCTION("AI(""Use word from column A in short example sentence"")"),"She spoke with complete candor about her reasons for leaving the company.")</f>
        <v>She spoke with complete candor about her reasons for leaving the company.</v>
      </c>
      <c r="E121" s="5"/>
      <c r="F121" s="5"/>
      <c r="G121" s="5"/>
      <c r="H121" s="5"/>
      <c r="I121" s="5"/>
      <c r="J121" s="5"/>
      <c r="K121" s="5"/>
      <c r="L121" s="5"/>
      <c r="M121" s="5"/>
      <c r="N121" s="5"/>
      <c r="O121" s="5"/>
      <c r="P121" s="5"/>
      <c r="Q121" s="5"/>
      <c r="R121" s="5"/>
      <c r="S121" s="5"/>
      <c r="T121" s="5"/>
      <c r="U121" s="5"/>
      <c r="V121" s="5"/>
      <c r="W121" s="5"/>
      <c r="X121" s="5"/>
      <c r="Y121" s="5"/>
      <c r="Z121" s="5"/>
    </row>
    <row r="122" spans="1:26" ht="12.5" x14ac:dyDescent="0.25">
      <c r="A122" s="5" t="s">
        <v>434</v>
      </c>
      <c r="B122" s="5" t="s">
        <v>435</v>
      </c>
      <c r="C122" s="5" t="str">
        <f ca="1">IFERROR(__xludf.DUMMYFUNCTION("AI(""snyonyms of word in column A"")"),"frantic, frenzied, hectic")</f>
        <v>frantic, frenzied, hectic</v>
      </c>
      <c r="D122" s="5" t="str">
        <f ca="1">IFERROR(__xludf.DUMMYFUNCTION("AI(""Use word from column A in short example sentence"")"),"The morning trading session on the stock exchange floor was frenetic and chaotic.")</f>
        <v>The morning trading session on the stock exchange floor was frenetic and chaotic.</v>
      </c>
      <c r="E122" s="5"/>
      <c r="F122" s="5"/>
      <c r="G122" s="5"/>
      <c r="H122" s="5"/>
      <c r="I122" s="5"/>
      <c r="J122" s="5"/>
      <c r="K122" s="5"/>
      <c r="L122" s="5"/>
      <c r="M122" s="5"/>
      <c r="N122" s="5"/>
      <c r="O122" s="5"/>
      <c r="P122" s="5"/>
      <c r="Q122" s="5"/>
      <c r="R122" s="5"/>
      <c r="S122" s="5"/>
      <c r="T122" s="5"/>
      <c r="U122" s="5"/>
      <c r="V122" s="5"/>
      <c r="W122" s="5"/>
      <c r="X122" s="5"/>
      <c r="Y122" s="5"/>
      <c r="Z122" s="5"/>
    </row>
    <row r="123" spans="1:26" ht="12.5" x14ac:dyDescent="0.25">
      <c r="A123" s="5" t="s">
        <v>438</v>
      </c>
      <c r="B123" s="5" t="s">
        <v>439</v>
      </c>
      <c r="C123" s="5" t="str">
        <f ca="1">IFERROR(__xludf.DUMMYFUNCTION("AI(""snyonyms of word in column A"")"),"perk, bonus, privilege")</f>
        <v>perk, bonus, privilege</v>
      </c>
      <c r="D123" s="5" t="str">
        <f ca="1">IFERROR(__xludf.DUMMYFUNCTION("AI(""Use word from column A in short example sentence"")"),"Company cars and free health insurance are common perquisites of this position.")</f>
        <v>Company cars and free health insurance are common perquisites of this position.</v>
      </c>
      <c r="E123" s="5"/>
      <c r="F123" s="5"/>
      <c r="G123" s="5"/>
      <c r="H123" s="5"/>
      <c r="I123" s="5"/>
      <c r="J123" s="5"/>
      <c r="K123" s="5"/>
      <c r="L123" s="5"/>
      <c r="M123" s="5"/>
      <c r="N123" s="5"/>
      <c r="O123" s="5"/>
      <c r="P123" s="5"/>
      <c r="Q123" s="5"/>
      <c r="R123" s="5"/>
      <c r="S123" s="5"/>
      <c r="T123" s="5"/>
      <c r="U123" s="5"/>
      <c r="V123" s="5"/>
      <c r="W123" s="5"/>
      <c r="X123" s="5"/>
      <c r="Y123" s="5"/>
      <c r="Z123" s="5"/>
    </row>
    <row r="124" spans="1:26" ht="12.5" x14ac:dyDescent="0.25">
      <c r="A124" s="5" t="s">
        <v>440</v>
      </c>
      <c r="B124" s="5" t="s">
        <v>442</v>
      </c>
      <c r="C124" s="5" t="str">
        <f ca="1">IFERROR(__xludf.DUMMYFUNCTION("AI(""snyonyms of word in column A"")"),"excessively, overly, unnecessarily")</f>
        <v>excessively, overly, unnecessarily</v>
      </c>
      <c r="D124" s="5" t="str">
        <f ca="1">IFERROR(__xludf.DUMMYFUNCTION("AI(""Use word from column A in short example sentence"")"),"She was unduly worried about the upcoming exam.")</f>
        <v>She was unduly worried about the upcoming exam.</v>
      </c>
      <c r="E124" s="5"/>
      <c r="F124" s="5"/>
      <c r="G124" s="5"/>
      <c r="H124" s="5"/>
      <c r="I124" s="5"/>
      <c r="J124" s="5"/>
      <c r="K124" s="5"/>
      <c r="L124" s="5"/>
      <c r="M124" s="5"/>
      <c r="N124" s="5"/>
      <c r="O124" s="5"/>
      <c r="P124" s="5"/>
      <c r="Q124" s="5"/>
      <c r="R124" s="5"/>
      <c r="S124" s="5"/>
      <c r="T124" s="5"/>
      <c r="U124" s="5"/>
      <c r="V124" s="5"/>
      <c r="W124" s="5"/>
      <c r="X124" s="5"/>
      <c r="Y124" s="5"/>
      <c r="Z124" s="5"/>
    </row>
    <row r="125" spans="1:26" ht="12.5" x14ac:dyDescent="0.25">
      <c r="A125" s="5" t="s">
        <v>444</v>
      </c>
      <c r="B125" s="5" t="s">
        <v>445</v>
      </c>
      <c r="C125" s="5" t="str">
        <f ca="1">IFERROR(__xludf.DUMMYFUNCTION("AI(""snyonyms of word in column A"")"),"penchant, fondness, inclination")</f>
        <v>penchant, fondness, inclination</v>
      </c>
      <c r="D125" s="5" t="str">
        <f ca="1">IFERROR(__xludf.DUMMYFUNCTION("AI(""Use word from column A in short example sentence"")"),"She had a predilection for spicy food, always adding extra chili to her meals.")</f>
        <v>She had a predilection for spicy food, always adding extra chili to her meals.</v>
      </c>
      <c r="E125" s="5"/>
      <c r="F125" s="5"/>
      <c r="G125" s="5"/>
      <c r="H125" s="5"/>
      <c r="I125" s="5"/>
      <c r="J125" s="5"/>
      <c r="K125" s="5"/>
      <c r="L125" s="5"/>
      <c r="M125" s="5"/>
      <c r="N125" s="5"/>
      <c r="O125" s="5"/>
      <c r="P125" s="5"/>
      <c r="Q125" s="5"/>
      <c r="R125" s="5"/>
      <c r="S125" s="5"/>
      <c r="T125" s="5"/>
      <c r="U125" s="5"/>
      <c r="V125" s="5"/>
      <c r="W125" s="5"/>
      <c r="X125" s="5"/>
      <c r="Y125" s="5"/>
      <c r="Z125" s="5"/>
    </row>
    <row r="126" spans="1:26" ht="12.5" x14ac:dyDescent="0.25">
      <c r="A126" s="5" t="s">
        <v>448</v>
      </c>
      <c r="B126" s="5" t="str">
        <f ca="1">IFERROR(__xludf.DUMMYFUNCTION("AI(""definition of "")"),"using few words, brief and to the point")</f>
        <v>using few words, brief and to the point</v>
      </c>
      <c r="C126" s="5" t="str">
        <f ca="1">IFERROR(__xludf.DUMMYFUNCTION("AI(""snyonyms of word in column A"")"),"concise, succinct, laconic")</f>
        <v>concise, succinct, laconic</v>
      </c>
      <c r="D126" s="5" t="str">
        <f ca="1">IFERROR(__xludf.DUMMYFUNCTION("AI(""Use word from column A in short example sentence"")"),"She gave a terse one-word answer and walked away.")</f>
        <v>She gave a terse one-word answer and walked away.</v>
      </c>
      <c r="E126" s="5"/>
      <c r="F126" s="5"/>
      <c r="G126" s="5"/>
      <c r="H126" s="5"/>
      <c r="I126" s="5"/>
      <c r="J126" s="5"/>
      <c r="K126" s="5"/>
      <c r="L126" s="5"/>
      <c r="M126" s="5"/>
      <c r="N126" s="5"/>
      <c r="O126" s="5"/>
      <c r="P126" s="5"/>
      <c r="Q126" s="5"/>
      <c r="R126" s="5"/>
      <c r="S126" s="5"/>
      <c r="T126" s="5"/>
      <c r="U126" s="5"/>
      <c r="V126" s="5"/>
      <c r="W126" s="5"/>
      <c r="X126" s="5"/>
      <c r="Y126" s="5"/>
      <c r="Z126" s="5"/>
    </row>
    <row r="127" spans="1:26" ht="12.5" x14ac:dyDescent="0.25">
      <c r="A127" s="5" t="s">
        <v>451</v>
      </c>
      <c r="B127" s="5" t="str">
        <f ca="1">IFERROR(__xludf.DUMMYFUNCTION("AI(""Fill an appropriate value for this cell based on the table context"")"),"willing to do something corrupt or dishonest, especially for a bribe")</f>
        <v>willing to do something corrupt or dishonest, especially for a bribe</v>
      </c>
      <c r="C127" s="5" t="str">
        <f ca="1">IFERROR(__xludf.DUMMYFUNCTION("AI(""Fill an appropriate value for this cell based on the table context"")"),"corrupt, bribable, mercenary")</f>
        <v>corrupt, bribable, mercenary</v>
      </c>
      <c r="D127" s="5" t="str">
        <f ca="1">IFERROR(__xludf.DUMMYFUNCTION("AI(""Fill an appropriate value for this cell based on the table context"")"),"The practice of pulling down the ancient monuments to be used as building material, which was connived at by venal officials, was strictly prohibited.")</f>
        <v>The practice of pulling down the ancient monuments to be used as building material, which was connived at by venal officials, was strictly prohibited.</v>
      </c>
      <c r="E127" s="5"/>
      <c r="F127" s="5"/>
      <c r="G127" s="5"/>
      <c r="H127" s="5"/>
      <c r="I127" s="5"/>
      <c r="J127" s="5"/>
      <c r="K127" s="5"/>
      <c r="L127" s="5"/>
      <c r="M127" s="5"/>
      <c r="N127" s="5"/>
      <c r="O127" s="5"/>
      <c r="P127" s="5"/>
      <c r="Q127" s="5"/>
      <c r="R127" s="5"/>
      <c r="S127" s="5"/>
      <c r="T127" s="5"/>
      <c r="U127" s="5"/>
      <c r="V127" s="5"/>
      <c r="W127" s="5"/>
      <c r="X127" s="5"/>
      <c r="Y127" s="5"/>
      <c r="Z127" s="5"/>
    </row>
    <row r="128" spans="1:26" ht="12.5" x14ac:dyDescent="0.25">
      <c r="A128" s="5" t="s">
        <v>454</v>
      </c>
      <c r="B128" s="5" t="str">
        <f ca="1">IFERROR(__xludf.DUMMYFUNCTION("AI(""Fill an appropriate value for this cell based on the table context"")"),"formally reject or renounce a belief or claim")</f>
        <v>formally reject or renounce a belief or claim</v>
      </c>
      <c r="C128" s="5" t="str">
        <f ca="1">IFERROR(__xludf.DUMMYFUNCTION("AI(""Fill an appropriate value for this cell based on the table context"")"),"renounce, forswear, recant")</f>
        <v>renounce, forswear, recant</v>
      </c>
      <c r="D128" s="5" t="str">
        <f ca="1">IFERROR(__xludf.DUMMYFUNCTION("AI(""Fill an appropriate value for this cell based on the table context"")"),"He abjured his former beliefs after realizing they were based on false information.")</f>
        <v>He abjured his former beliefs after realizing they were based on false information.</v>
      </c>
      <c r="E128" s="5"/>
      <c r="F128" s="5"/>
      <c r="G128" s="5"/>
      <c r="H128" s="5"/>
      <c r="I128" s="5"/>
      <c r="J128" s="5"/>
      <c r="K128" s="5"/>
      <c r="L128" s="5"/>
      <c r="M128" s="5"/>
      <c r="N128" s="5"/>
      <c r="O128" s="5"/>
      <c r="P128" s="5"/>
      <c r="Q128" s="5"/>
      <c r="R128" s="5"/>
      <c r="S128" s="5"/>
      <c r="T128" s="5"/>
      <c r="U128" s="5"/>
      <c r="V128" s="5"/>
      <c r="W128" s="5"/>
      <c r="X128" s="5"/>
      <c r="Y128" s="5"/>
      <c r="Z128" s="5"/>
    </row>
    <row r="129" spans="1:26" ht="12.5" x14ac:dyDescent="0.25">
      <c r="A129" s="5" t="s">
        <v>457</v>
      </c>
      <c r="B129" s="5" t="str">
        <f ca="1">IFERROR(__xludf.DUMMYFUNCTION("AI(""Fill an appropriate value for this cell based on the table context"")"),"to publicly say that you no longer have an opinion or belief that you once had")</f>
        <v>to publicly say that you no longer have an opinion or belief that you once had</v>
      </c>
      <c r="C129" s="5" t="str">
        <f ca="1">IFERROR(__xludf.DUMMYFUNCTION("AI(""Fill an appropriate value for this cell based on the table context"")"),"retract, renounce, abjure")</f>
        <v>retract, renounce, abjure</v>
      </c>
      <c r="D129" s="5" t="str">
        <f ca="1">IFERROR(__xludf.DUMMYFUNCTION("AI(""Fill an appropriate value for this cell based on the table context"")"),"Under cross-examination, the witness decided to recant her previous testimony.")</f>
        <v>Under cross-examination, the witness decided to recant her previous testimony.</v>
      </c>
      <c r="E129" s="5"/>
      <c r="F129" s="5"/>
      <c r="G129" s="5"/>
      <c r="H129" s="5"/>
      <c r="I129" s="5"/>
      <c r="J129" s="5"/>
      <c r="K129" s="5"/>
      <c r="L129" s="5"/>
      <c r="M129" s="5"/>
      <c r="N129" s="5"/>
      <c r="O129" s="5"/>
      <c r="P129" s="5"/>
      <c r="Q129" s="5"/>
      <c r="R129" s="5"/>
      <c r="S129" s="5"/>
      <c r="T129" s="5"/>
      <c r="U129" s="5"/>
      <c r="V129" s="5"/>
      <c r="W129" s="5"/>
      <c r="X129" s="5"/>
      <c r="Y129" s="5"/>
      <c r="Z129" s="5"/>
    </row>
    <row r="130" spans="1:26" ht="12.5" x14ac:dyDescent="0.25">
      <c r="A130" s="5" t="s">
        <v>458</v>
      </c>
      <c r="B130" s="5" t="str">
        <f ca="1">IFERROR(__xludf.DUMMYFUNCTION("AI(""Fill an appropriate value for this cell based on the table context"")"),"atypical, abnormal, unusual")</f>
        <v>atypical, abnormal, unusual</v>
      </c>
      <c r="C130" s="5" t="str">
        <f ca="1">IFERROR(__xludf.DUMMYFUNCTION("AI(""Fill an appropriate value for this cell based on the table context"")"),"deviant, abnormal, atypical")</f>
        <v>deviant, abnormal, atypical</v>
      </c>
      <c r="D130" s="5" t="str">
        <f ca="1">IFERROR(__xludf.DUMMYFUNCTION("AI(""Fill an appropriate value for this cell based on the table context"")"),"The scientist noticed an aberrant pattern in the data that did not match any previous results.")</f>
        <v>The scientist noticed an aberrant pattern in the data that did not match any previous results.</v>
      </c>
      <c r="E130" s="5"/>
      <c r="F130" s="5"/>
      <c r="G130" s="5"/>
      <c r="H130" s="5"/>
      <c r="I130" s="5"/>
      <c r="J130" s="5"/>
      <c r="K130" s="5"/>
      <c r="L130" s="5"/>
      <c r="M130" s="5"/>
      <c r="N130" s="5"/>
      <c r="O130" s="5"/>
      <c r="P130" s="5"/>
      <c r="Q130" s="5"/>
      <c r="R130" s="5"/>
      <c r="S130" s="5"/>
      <c r="T130" s="5"/>
      <c r="U130" s="5"/>
      <c r="V130" s="5"/>
      <c r="W130" s="5"/>
      <c r="X130" s="5"/>
      <c r="Y130" s="5"/>
      <c r="Z130" s="5"/>
    </row>
    <row r="131" spans="1:26" ht="12.5" x14ac:dyDescent="0.25">
      <c r="A131" s="5" t="s">
        <v>461</v>
      </c>
      <c r="B131" s="5" t="str">
        <f ca="1">IFERROR(__xludf.DUMMYFUNCTION("AI(""Fill an appropriate value for this cell based on the table context"")"),"a feeling of intense aversion, dislike, or hostility")</f>
        <v>a feeling of intense aversion, dislike, or hostility</v>
      </c>
      <c r="C131" s="5" t="str">
        <f ca="1">IFERROR(__xludf.DUMMYFUNCTION("AI(""Fill an appropriate value for this cell based on the table context"")"),"animosity, hostility, enmity")</f>
        <v>animosity, hostility, enmity</v>
      </c>
      <c r="D131" s="5" t="str">
        <f ca="1">IFERROR(__xludf.DUMMYFUNCTION("AI(""Fill an appropriate value for this cell based on the table context"")"),"Despite his efforts to remain polite, he could not conceal his deep antipathy toward his arrogant coworker.")</f>
        <v>Despite his efforts to remain polite, he could not conceal his deep antipathy toward his arrogant coworker.</v>
      </c>
      <c r="E131" s="5"/>
      <c r="F131" s="5"/>
      <c r="G131" s="5"/>
      <c r="H131" s="5"/>
      <c r="I131" s="5"/>
      <c r="J131" s="5"/>
      <c r="K131" s="5"/>
      <c r="L131" s="5"/>
      <c r="M131" s="5"/>
      <c r="N131" s="5"/>
      <c r="O131" s="5"/>
      <c r="P131" s="5"/>
      <c r="Q131" s="5"/>
      <c r="R131" s="5"/>
      <c r="S131" s="5"/>
      <c r="T131" s="5"/>
      <c r="U131" s="5"/>
      <c r="V131" s="5"/>
      <c r="W131" s="5"/>
      <c r="X131" s="5"/>
      <c r="Y131" s="5"/>
      <c r="Z131" s="5"/>
    </row>
    <row r="132" spans="1:26" ht="12.5" x14ac:dyDescent="0.25">
      <c r="A132" s="5" t="s">
        <v>462</v>
      </c>
      <c r="B132" s="5" t="str">
        <f ca="1">IFERROR(__xludf.DUMMYFUNCTION("AI(""Fill an appropriate value for this cell based on the table context"")"),"secret and mysterious and therefore difficult to understand")</f>
        <v>secret and mysterious and therefore difficult to understand</v>
      </c>
      <c r="C132" s="5" t="str">
        <f ca="1">IFERROR(__xludf.DUMMYFUNCTION("AI(""Fill an appropriate value for this cell based on the table context"")"),"esoteric, cryptic, mysterious")</f>
        <v>esoteric, cryptic, mysterious</v>
      </c>
      <c r="D132" s="5" t="str">
        <f ca="1">IFERROR(__xludf.DUMMYFUNCTION("AI(""Fill an appropriate value for this cell based on the table context"")"),"The professor's lecture was filled with arcane details about medieval law that only a few experts understood.")</f>
        <v>The professor's lecture was filled with arcane details about medieval law that only a few experts understood.</v>
      </c>
      <c r="E132" s="5"/>
      <c r="F132" s="5"/>
      <c r="G132" s="5"/>
      <c r="H132" s="5"/>
      <c r="I132" s="5"/>
      <c r="J132" s="5"/>
      <c r="K132" s="5"/>
      <c r="L132" s="5"/>
      <c r="M132" s="5"/>
      <c r="N132" s="5"/>
      <c r="O132" s="5"/>
      <c r="P132" s="5"/>
      <c r="Q132" s="5"/>
      <c r="R132" s="5"/>
      <c r="S132" s="5"/>
      <c r="T132" s="5"/>
      <c r="U132" s="5"/>
      <c r="V132" s="5"/>
      <c r="W132" s="5"/>
      <c r="X132" s="5"/>
      <c r="Y132" s="5"/>
      <c r="Z132" s="5"/>
    </row>
    <row r="133" spans="1:26" ht="25" x14ac:dyDescent="0.25">
      <c r="A133" s="5" t="s">
        <v>465</v>
      </c>
      <c r="B133" s="5" t="str">
        <f ca="1">IFERROR(__xludf.DUMMYFUNCTION("AI(""Fill an appropriate value for this cell based on the table context"")"),"intended for or understood by only a small number of people with specialized knowledge or interest")</f>
        <v>intended for or understood by only a small number of people with specialized knowledge or interest</v>
      </c>
      <c r="C133" s="5" t="str">
        <f ca="1">IFERROR(__xludf.DUMMYFUNCTION("AI(""Fill an appropriate value for this cell based on the table context"")"),"abstruse, recondite, arcane")</f>
        <v>abstruse, recondite, arcane</v>
      </c>
      <c r="D133" s="5" t="str">
        <f ca="1">IFERROR(__xludf.DUMMYFUNCTION("AI(""Fill an appropriate value for this cell based on the table context"")"),"The professor's lecture on quantum philosophy was far too esoteric for the beginners in the audience to follow.")</f>
        <v>The professor's lecture on quantum philosophy was far too esoteric for the beginners in the audience to follow.</v>
      </c>
      <c r="E133" s="5"/>
      <c r="F133" s="5"/>
      <c r="G133" s="5"/>
      <c r="H133" s="5"/>
      <c r="I133" s="5"/>
      <c r="J133" s="5"/>
      <c r="K133" s="5"/>
      <c r="L133" s="5"/>
      <c r="M133" s="5"/>
      <c r="N133" s="5"/>
      <c r="O133" s="5"/>
      <c r="P133" s="5"/>
      <c r="Q133" s="5"/>
      <c r="R133" s="5"/>
      <c r="S133" s="5"/>
      <c r="T133" s="5"/>
      <c r="U133" s="5"/>
      <c r="V133" s="5"/>
      <c r="W133" s="5"/>
      <c r="X133" s="5"/>
      <c r="Y133" s="5"/>
      <c r="Z133" s="5"/>
    </row>
    <row r="134" spans="1:26" ht="12.5" x14ac:dyDescent="0.25">
      <c r="A134" s="5" t="s">
        <v>467</v>
      </c>
      <c r="B134" s="5" t="str">
        <f ca="1">IFERROR(__xludf.DUMMYFUNCTION("AI(""Fill an appropriate value for this cell based on the table context"")"),"difficult to understand due to being complex")</f>
        <v>difficult to understand due to being complex</v>
      </c>
      <c r="C134" s="5" t="str">
        <f ca="1">IFERROR(__xludf.DUMMYFUNCTION("AI(""Fill an appropriate value for this cell based on the table context"")"),"obscure, recondite, arcane")</f>
        <v>obscure, recondite, arcane</v>
      </c>
      <c r="D134" s="5" t="str">
        <f ca="1">IFERROR(__xludf.DUMMYFUNCTION("AI(""Fill an appropriate value for this cell based on the table context"")"),"The professor's lecture on quantum mechanics was so abstruse that half the students felt completely lost.")</f>
        <v>The professor's lecture on quantum mechanics was so abstruse that half the students felt completely lost.</v>
      </c>
      <c r="E134" s="5"/>
      <c r="F134" s="5"/>
      <c r="G134" s="5"/>
      <c r="H134" s="5"/>
      <c r="I134" s="5"/>
      <c r="J134" s="5"/>
      <c r="K134" s="5"/>
      <c r="L134" s="5"/>
      <c r="M134" s="5"/>
      <c r="N134" s="5"/>
      <c r="O134" s="5"/>
      <c r="P134" s="5"/>
      <c r="Q134" s="5"/>
      <c r="R134" s="5"/>
      <c r="S134" s="5"/>
      <c r="T134" s="5"/>
      <c r="U134" s="5"/>
      <c r="V134" s="5"/>
      <c r="W134" s="5"/>
      <c r="X134" s="5"/>
      <c r="Y134" s="5"/>
      <c r="Z134" s="5"/>
    </row>
    <row r="135" spans="1:26" ht="12.5" x14ac:dyDescent="0.25">
      <c r="A135" s="5" t="s">
        <v>469</v>
      </c>
      <c r="B135" s="5" t="str">
        <f ca="1">IFERROR(__xludf.DUMMYFUNCTION("AI(""Fill an appropriate value for this cell based on the table context"")"),"difficult to understand or not known about by many people")</f>
        <v>difficult to understand or not known about by many people</v>
      </c>
      <c r="C135" s="5" t="str">
        <f ca="1">IFERROR(__xludf.DUMMYFUNCTION("AI(""Fill an appropriate value for this cell based on the table context"")"),"abstruse, recondite, arcane")</f>
        <v>abstruse, recondite, arcane</v>
      </c>
      <c r="D135" s="5" t="str">
        <f ca="1">IFERROR(__xludf.DUMMYFUNCTION("AI(""Fill an appropriate value for this cell based on the table context"")"),"Since I do not have a law degree, I find it hard to understand the recondite terms of the contract.")</f>
        <v>Since I do not have a law degree, I find it hard to understand the recondite terms of the contract.</v>
      </c>
      <c r="E135" s="5"/>
      <c r="F135" s="5"/>
      <c r="G135" s="5"/>
      <c r="H135" s="5"/>
      <c r="I135" s="5"/>
      <c r="J135" s="5"/>
      <c r="K135" s="5"/>
      <c r="L135" s="5"/>
      <c r="M135" s="5"/>
      <c r="N135" s="5"/>
      <c r="O135" s="5"/>
      <c r="P135" s="5"/>
      <c r="Q135" s="5"/>
      <c r="R135" s="5"/>
      <c r="S135" s="5"/>
      <c r="T135" s="5"/>
      <c r="U135" s="5"/>
      <c r="V135" s="5"/>
      <c r="W135" s="5"/>
      <c r="X135" s="5"/>
      <c r="Y135" s="5"/>
      <c r="Z135" s="5"/>
    </row>
    <row r="136" spans="1:26" ht="12.5" x14ac:dyDescent="0.25">
      <c r="A136" s="5" t="s">
        <v>472</v>
      </c>
      <c r="B136" s="5" t="str">
        <f ca="1">IFERROR(__xludf.DUMMYFUNCTION("AI(""Fill an appropriate value for this cell based on the table context"")"),"difficult to do or needing a lot of effort")</f>
        <v>difficult to do or needing a lot of effort</v>
      </c>
      <c r="C136" s="5" t="str">
        <f ca="1">IFERROR(__xludf.DUMMYFUNCTION("AI(""Fill an appropriate value for this cell based on the table context"")"),"burdensome, exacting, oppressive")</f>
        <v>burdensome, exacting, oppressive</v>
      </c>
      <c r="D136" s="5" t="str">
        <f ca="1">IFERROR(__xludf.DUMMYFUNCTION("AI(""Fill an appropriate value for this cell based on the table context"")"),"The team was assigned the onerous task of cleaning up the massive mess after the concert.")</f>
        <v>The team was assigned the onerous task of cleaning up the massive mess after the concert.</v>
      </c>
      <c r="E136" s="5"/>
      <c r="F136" s="5"/>
      <c r="G136" s="5"/>
      <c r="H136" s="5"/>
      <c r="I136" s="5"/>
      <c r="J136" s="5"/>
      <c r="K136" s="5"/>
      <c r="L136" s="5"/>
      <c r="M136" s="5"/>
      <c r="N136" s="5"/>
      <c r="O136" s="5"/>
      <c r="P136" s="5"/>
      <c r="Q136" s="5"/>
      <c r="R136" s="5"/>
      <c r="S136" s="5"/>
      <c r="T136" s="5"/>
      <c r="U136" s="5"/>
      <c r="V136" s="5"/>
      <c r="W136" s="5"/>
      <c r="X136" s="5"/>
      <c r="Y136" s="5"/>
      <c r="Z136" s="5"/>
    </row>
    <row r="137" spans="1:26" ht="12.5" x14ac:dyDescent="0.25">
      <c r="A137" s="5" t="s">
        <v>475</v>
      </c>
      <c r="B137" s="5" t="s">
        <v>476</v>
      </c>
      <c r="C137" s="5" t="str">
        <f ca="1">IFERROR(__xludf.DUMMYFUNCTION("AI(""Fill an appropriate value for this cell based on the table context"")"),"naive, artless, guileless")</f>
        <v>naive, artless, guileless</v>
      </c>
      <c r="D137" s="5" t="str">
        <f ca="1">IFERROR(__xludf.DUMMYFUNCTION("AI(""Fill an appropriate value for this cell based on the table context"")"),"Her artless candor made it impossible for her to hide her true feelings from her friends.")</f>
        <v>Her artless candor made it impossible for her to hide her true feelings from her friends.</v>
      </c>
      <c r="E137" s="5"/>
      <c r="F137" s="5"/>
      <c r="G137" s="5"/>
      <c r="H137" s="5"/>
      <c r="I137" s="5"/>
      <c r="J137" s="5"/>
      <c r="K137" s="5"/>
      <c r="L137" s="5"/>
      <c r="M137" s="5"/>
      <c r="N137" s="5"/>
      <c r="O137" s="5"/>
      <c r="P137" s="5"/>
      <c r="Q137" s="5"/>
      <c r="R137" s="5"/>
      <c r="S137" s="5"/>
      <c r="T137" s="5"/>
      <c r="U137" s="5"/>
      <c r="V137" s="5"/>
      <c r="W137" s="5"/>
      <c r="X137" s="5"/>
      <c r="Y137" s="5"/>
      <c r="Z137" s="5"/>
    </row>
    <row r="138" spans="1:26" ht="12.5" x14ac:dyDescent="0.25">
      <c r="A138" s="5" t="s">
        <v>479</v>
      </c>
      <c r="B138" s="5" t="str">
        <f ca="1">IFERROR(__xludf.DUMMYFUNCTION("AI(""Fill an appropriate value for this cell based on the table context"")"),"sly or cunning intelligence used to deceive others")</f>
        <v>sly or cunning intelligence used to deceive others</v>
      </c>
      <c r="C138" s="5" t="str">
        <f ca="1">IFERROR(__xludf.DUMMYFUNCTION("AI(""Fill an appropriate value for this cell based on the table context"")"),"cunning, craftiness, slyness")</f>
        <v>cunning, craftiness, slyness</v>
      </c>
      <c r="D138" s="5" t="str">
        <f ca="1">IFERROR(__xludf.DUMMYFUNCTION("AI(""Fill an appropriate value for this cell based on the table context"")"),"The cunning politician used his guile to win the election despite the controversy.")</f>
        <v>The cunning politician used his guile to win the election despite the controversy.</v>
      </c>
      <c r="E138" s="5"/>
      <c r="F138" s="5"/>
      <c r="G138" s="5"/>
      <c r="H138" s="5"/>
      <c r="I138" s="5"/>
      <c r="J138" s="5"/>
      <c r="K138" s="5"/>
      <c r="L138" s="5"/>
      <c r="M138" s="5"/>
      <c r="N138" s="5"/>
      <c r="O138" s="5"/>
      <c r="P138" s="5"/>
      <c r="Q138" s="5"/>
      <c r="R138" s="5"/>
      <c r="S138" s="5"/>
      <c r="T138" s="5"/>
      <c r="U138" s="5"/>
      <c r="V138" s="5"/>
      <c r="W138" s="5"/>
      <c r="X138" s="5"/>
      <c r="Y138" s="5"/>
      <c r="Z138" s="5"/>
    </row>
    <row r="139" spans="1:26" ht="12.5" x14ac:dyDescent="0.25">
      <c r="A139" s="5" t="s">
        <v>486</v>
      </c>
      <c r="B139" s="5" t="s">
        <v>487</v>
      </c>
      <c r="C139" s="5" t="str">
        <f ca="1">IFERROR(__xludf.DUMMYFUNCTION("AI(""Fill an appropriate value for this cell based on the table context"")"),"alleviate, relieve, mitigate")</f>
        <v>alleviate, relieve, mitigate</v>
      </c>
      <c r="D139" s="5" t="str">
        <f ca="1">IFERROR(__xludf.DUMMYFUNCTION("AI(""Fill an appropriate value for this cell based on the table context"")"),"The government tried to assuage the public's fears by releasing the safety report.")</f>
        <v>The government tried to assuage the public's fears by releasing the safety report.</v>
      </c>
      <c r="E139" s="5"/>
      <c r="F139" s="5"/>
      <c r="G139" s="5"/>
      <c r="H139" s="5"/>
      <c r="I139" s="5"/>
      <c r="J139" s="5"/>
      <c r="K139" s="5"/>
      <c r="L139" s="5"/>
      <c r="M139" s="5"/>
      <c r="N139" s="5"/>
      <c r="O139" s="5"/>
      <c r="P139" s="5"/>
      <c r="Q139" s="5"/>
      <c r="R139" s="5"/>
      <c r="S139" s="5"/>
      <c r="T139" s="5"/>
      <c r="U139" s="5"/>
      <c r="V139" s="5"/>
      <c r="W139" s="5"/>
      <c r="X139" s="5"/>
      <c r="Y139" s="5"/>
      <c r="Z139" s="5"/>
    </row>
    <row r="140" spans="1:26" ht="12.5" x14ac:dyDescent="0.25">
      <c r="A140" s="5" t="s">
        <v>490</v>
      </c>
      <c r="B140" s="5" t="str">
        <f ca="1">IFERROR(__xludf.DUMMYFUNCTION("AI(""Fill an appropriate value for this cell based on the table context"")"),"diminish or put at rest fear, suspicion, or worry")</f>
        <v>diminish or put at rest fear, suspicion, or worry</v>
      </c>
      <c r="C140" s="5" t="str">
        <f ca="1">IFERROR(__xludf.DUMMYFUNCTION("AI(""Fill an appropriate value for this cell based on the table context"")"),"alleviate, assuage, mitigate")</f>
        <v>alleviate, assuage, mitigate</v>
      </c>
      <c r="D140" s="5" t="str">
        <f ca="1">IFERROR(__xludf.DUMMYFUNCTION("AI(""Fill an appropriate value for this cell based on the table context"")"),"The company released a statement to allay the public's concerns about the product's safety.")</f>
        <v>The company released a statement to allay the public's concerns about the product's safety.</v>
      </c>
      <c r="E140" s="5"/>
      <c r="F140" s="5"/>
      <c r="G140" s="5"/>
      <c r="H140" s="5"/>
      <c r="I140" s="5"/>
      <c r="J140" s="5"/>
      <c r="K140" s="5"/>
      <c r="L140" s="5"/>
      <c r="M140" s="5"/>
      <c r="N140" s="5"/>
      <c r="O140" s="5"/>
      <c r="P140" s="5"/>
      <c r="Q140" s="5"/>
      <c r="R140" s="5"/>
      <c r="S140" s="5"/>
      <c r="T140" s="5"/>
      <c r="U140" s="5"/>
      <c r="V140" s="5"/>
      <c r="W140" s="5"/>
      <c r="X140" s="5"/>
      <c r="Y140" s="5"/>
      <c r="Z140" s="5"/>
    </row>
    <row r="141" spans="1:26" ht="12.5" x14ac:dyDescent="0.25">
      <c r="A141" s="5" t="s">
        <v>491</v>
      </c>
      <c r="B141" s="5" t="str">
        <f ca="1">IFERROR(__xludf.DUMMYFUNCTION("AI(""Fill an appropriate value for this cell based on the table context"")"),"very serious and unfriendly")</f>
        <v>very serious and unfriendly</v>
      </c>
      <c r="C141" s="5" t="str">
        <f ca="1">IFERROR(__xludf.DUMMYFUNCTION("AI(""Fill an appropriate value for this cell based on the table context"")"),"gloomy, grim, sullen")</f>
        <v>gloomy, grim, sullen</v>
      </c>
      <c r="D141" s="5" t="str">
        <f ca="1">IFERROR(__xludf.DUMMYFUNCTION("AI(""Fill an appropriate value for this cell based on the table context"")"),"The teacher's dour expression made the class fall silent as soon as she entered the room.")</f>
        <v>The teacher's dour expression made the class fall silent as soon as she entered the room.</v>
      </c>
      <c r="E141" s="5"/>
      <c r="F141" s="5"/>
      <c r="G141" s="5"/>
      <c r="H141" s="5"/>
      <c r="I141" s="5"/>
      <c r="J141" s="5"/>
      <c r="K141" s="5"/>
      <c r="L141" s="5"/>
      <c r="M141" s="5"/>
      <c r="N141" s="5"/>
      <c r="O141" s="5"/>
      <c r="P141" s="5"/>
      <c r="Q141" s="5"/>
      <c r="R141" s="5"/>
      <c r="S141" s="5"/>
      <c r="T141" s="5"/>
      <c r="U141" s="5"/>
      <c r="V141" s="5"/>
      <c r="W141" s="5"/>
      <c r="X141" s="5"/>
      <c r="Y141" s="5"/>
      <c r="Z141" s="5"/>
    </row>
    <row r="142" spans="1:26" ht="12.5" x14ac:dyDescent="0.25">
      <c r="A142" s="5" t="s">
        <v>493</v>
      </c>
      <c r="B142" s="5" t="s">
        <v>495</v>
      </c>
      <c r="C142" s="5" t="str">
        <f ca="1">IFERROR(__xludf.DUMMYFUNCTION("AI(""Fill an appropriate value for this cell based on the table context"")"),"severe, stern, strict")</f>
        <v>severe, stern, strict</v>
      </c>
      <c r="D142" s="5" t="str">
        <f ca="1">IFERROR(__xludf.DUMMYFUNCTION("AI(""Fill an appropriate value for this cell based on the table context"")"),"The monk lived an austere life in the remote monastery.")</f>
        <v>The monk lived an austere life in the remote monastery.</v>
      </c>
      <c r="E142" s="5"/>
      <c r="F142" s="5"/>
      <c r="G142" s="5"/>
      <c r="H142" s="5"/>
      <c r="I142" s="5"/>
      <c r="J142" s="5"/>
      <c r="K142" s="5"/>
      <c r="L142" s="5"/>
      <c r="M142" s="5"/>
      <c r="N142" s="5"/>
      <c r="O142" s="5"/>
      <c r="P142" s="5"/>
      <c r="Q142" s="5"/>
      <c r="R142" s="5"/>
      <c r="S142" s="5"/>
      <c r="T142" s="5"/>
      <c r="U142" s="5"/>
      <c r="V142" s="5"/>
      <c r="W142" s="5"/>
      <c r="X142" s="5"/>
      <c r="Y142" s="5"/>
      <c r="Z142" s="5"/>
    </row>
    <row r="143" spans="1:26" ht="12.5" x14ac:dyDescent="0.25">
      <c r="A143" s="5" t="s">
        <v>496</v>
      </c>
      <c r="B143" s="5" t="str">
        <f ca="1">IFERROR(__xludf.DUMMYFUNCTION("AI(""Fill an appropriate value for this cell based on the table context"")"),"sparing or moderate in eating and drinking")</f>
        <v>sparing or moderate in eating and drinking</v>
      </c>
      <c r="C143" s="5" t="str">
        <f ca="1">IFERROR(__xludf.DUMMYFUNCTION("AI(""Fill an appropriate value for this cell based on the table context"")"),"ascetic, temperate, abstinent")</f>
        <v>ascetic, temperate, abstinent</v>
      </c>
      <c r="D143" s="5" t="str">
        <f ca="1">IFERROR(__xludf.DUMMYFUNCTION("AI(""Fill an appropriate value for this cell based on the table context"")"),"Gerald was abstemious at dinner and only ate a little of the food on his plate.")</f>
        <v>Gerald was abstemious at dinner and only ate a little of the food on his plate.</v>
      </c>
      <c r="E143" s="5"/>
      <c r="F143" s="5"/>
      <c r="G143" s="5"/>
      <c r="H143" s="5"/>
      <c r="I143" s="5"/>
      <c r="J143" s="5"/>
      <c r="K143" s="5"/>
      <c r="L143" s="5"/>
      <c r="M143" s="5"/>
      <c r="N143" s="5"/>
      <c r="O143" s="5"/>
      <c r="P143" s="5"/>
      <c r="Q143" s="5"/>
      <c r="R143" s="5"/>
      <c r="S143" s="5"/>
      <c r="T143" s="5"/>
      <c r="U143" s="5"/>
      <c r="V143" s="5"/>
      <c r="W143" s="5"/>
      <c r="X143" s="5"/>
      <c r="Y143" s="5"/>
      <c r="Z143" s="5"/>
    </row>
    <row r="144" spans="1:26" ht="12.5" x14ac:dyDescent="0.25">
      <c r="A144" s="5" t="s">
        <v>499</v>
      </c>
      <c r="B144" s="5" t="str">
        <f ca="1">IFERROR(__xludf.DUMMYFUNCTION("AI(""Fill an appropriate value for this cell based on the table context"")"),"of or relating to the skull or cranium")</f>
        <v>of or relating to the skull or cranium</v>
      </c>
      <c r="C144" s="5" t="str">
        <f ca="1">IFERROR(__xludf.DUMMYFUNCTION("AI(""Fill an appropriate value for this cell based on the table context"")"),"cephalic")</f>
        <v>cephalic</v>
      </c>
      <c r="D144" s="5" t="str">
        <f ca="1">IFERROR(__xludf.DUMMYFUNCTION("AI(""Fill an appropriate value for this cell based on the table context"")"),"The doctor ordered a cranial CT scan to rule out any fractures.")</f>
        <v>The doctor ordered a cranial CT scan to rule out any fractures.</v>
      </c>
      <c r="E144" s="5"/>
      <c r="F144" s="5"/>
      <c r="G144" s="5"/>
      <c r="H144" s="5"/>
      <c r="I144" s="5"/>
      <c r="J144" s="5"/>
      <c r="K144" s="5"/>
      <c r="L144" s="5"/>
      <c r="M144" s="5"/>
      <c r="N144" s="5"/>
      <c r="O144" s="5"/>
      <c r="P144" s="5"/>
      <c r="Q144" s="5"/>
      <c r="R144" s="5"/>
      <c r="S144" s="5"/>
      <c r="T144" s="5"/>
      <c r="U144" s="5"/>
      <c r="V144" s="5"/>
      <c r="W144" s="5"/>
      <c r="X144" s="5"/>
      <c r="Y144" s="5"/>
      <c r="Z144" s="5"/>
    </row>
    <row r="145" spans="1:26" ht="12.5" x14ac:dyDescent="0.25">
      <c r="A145" s="5" t="s">
        <v>500</v>
      </c>
      <c r="B145" s="5" t="str">
        <f ca="1">IFERROR(__xludf.DUMMYFUNCTION("AI(""Fill an appropriate value for this cell based on the table context"")"),"of or relating to a cortex")</f>
        <v>of or relating to a cortex</v>
      </c>
      <c r="C145" s="5" t="str">
        <f ca="1">IFERROR(__xludf.DUMMYFUNCTION("AI(""Fill an appropriate value for this cell based on the table context"")"),"cerebral")</f>
        <v>cerebral</v>
      </c>
      <c r="D145" s="5" t="str">
        <f ca="1">IFERROR(__xludf.DUMMYFUNCTION("AI(""Fill an appropriate value for this cell based on the table context"")"),"Studies have shown that mental imagery activates the same cortical areas of the brain as real-life experiences.")</f>
        <v>Studies have shown that mental imagery activates the same cortical areas of the brain as real-life experiences.</v>
      </c>
      <c r="E145" s="5"/>
      <c r="F145" s="5"/>
      <c r="G145" s="5"/>
      <c r="H145" s="5"/>
      <c r="I145" s="5"/>
      <c r="J145" s="5"/>
      <c r="K145" s="5"/>
      <c r="L145" s="5"/>
      <c r="M145" s="5"/>
      <c r="N145" s="5"/>
      <c r="O145" s="5"/>
      <c r="P145" s="5"/>
      <c r="Q145" s="5"/>
      <c r="R145" s="5"/>
      <c r="S145" s="5"/>
      <c r="T145" s="5"/>
      <c r="U145" s="5"/>
      <c r="V145" s="5"/>
      <c r="W145" s="5"/>
      <c r="X145" s="5"/>
      <c r="Y145" s="5"/>
      <c r="Z145" s="5"/>
    </row>
    <row r="146" spans="1:26" ht="12.5" x14ac:dyDescent="0.25">
      <c r="A146" s="5" t="s">
        <v>503</v>
      </c>
      <c r="B146" s="5" t="str">
        <f ca="1">IFERROR(__xludf.DUMMYFUNCTION("AI(""Fill an appropriate value for this cell based on the table context"")"),"of or relating to the head")</f>
        <v>of or relating to the head</v>
      </c>
      <c r="C146" s="5" t="str">
        <f ca="1">IFERROR(__xludf.DUMMYFUNCTION("AI(""Fill an appropriate value for this cell based on the table context"")"),"cranial")</f>
        <v>cranial</v>
      </c>
      <c r="D146" s="5" t="str">
        <f ca="1">IFERROR(__xludf.DUMMYFUNCTION("AI(""Fill an appropriate value for this cell based on the table context"")"),"The head or cephalic portion of the neural tube becomes the brain.")</f>
        <v>The head or cephalic portion of the neural tube becomes the brain.</v>
      </c>
      <c r="E146" s="5"/>
      <c r="F146" s="5"/>
      <c r="G146" s="5"/>
      <c r="H146" s="5"/>
      <c r="I146" s="5"/>
      <c r="J146" s="5"/>
      <c r="K146" s="5"/>
      <c r="L146" s="5"/>
      <c r="M146" s="5"/>
      <c r="N146" s="5"/>
      <c r="O146" s="5"/>
      <c r="P146" s="5"/>
      <c r="Q146" s="5"/>
      <c r="R146" s="5"/>
      <c r="S146" s="5"/>
      <c r="T146" s="5"/>
      <c r="U146" s="5"/>
      <c r="V146" s="5"/>
      <c r="W146" s="5"/>
      <c r="X146" s="5"/>
      <c r="Y146" s="5"/>
      <c r="Z146" s="5"/>
    </row>
    <row r="147" spans="1:26" ht="25" x14ac:dyDescent="0.25">
      <c r="A147" s="5" t="s">
        <v>506</v>
      </c>
      <c r="B147" s="5" t="str">
        <f ca="1">IFERROR(__xludf.DUMMYFUNCTION("AI(""Fill an appropriate value for this cell based on the table context"")"),"the outer layer of an organ or structure in the body")</f>
        <v>the outer layer of an organ or structure in the body</v>
      </c>
      <c r="C147" s="5" t="str">
        <f ca="1">IFERROR(__xludf.DUMMYFUNCTION("AI(""Fill an appropriate value for this cell based on the table context"")"),"cerebral cortex, cerebral mantle, pallium")</f>
        <v>cerebral cortex, cerebral mantle, pallium</v>
      </c>
      <c r="D147" s="5" t="str">
        <f ca="1">IFERROR(__xludf.DUMMYFUNCTION("AI(""Fill an appropriate value for this cell based on the table context"")"),"The chip is inserted into the cerebral cortex.")</f>
        <v>The chip is inserted into the cerebral cortex.</v>
      </c>
      <c r="E147" s="5"/>
      <c r="F147" s="5"/>
      <c r="G147" s="5"/>
      <c r="H147" s="5"/>
      <c r="I147" s="5"/>
      <c r="J147" s="5"/>
      <c r="K147" s="5"/>
      <c r="L147" s="5"/>
      <c r="M147" s="5"/>
      <c r="N147" s="5"/>
      <c r="O147" s="5"/>
      <c r="P147" s="5"/>
      <c r="Q147" s="5"/>
      <c r="R147" s="5"/>
      <c r="S147" s="5"/>
      <c r="T147" s="5"/>
      <c r="U147" s="5"/>
      <c r="V147" s="5"/>
      <c r="W147" s="5"/>
      <c r="X147" s="5"/>
      <c r="Y147" s="5"/>
      <c r="Z147" s="5"/>
    </row>
    <row r="148" spans="1:26" ht="25" x14ac:dyDescent="0.25">
      <c r="A148" s="5" t="s">
        <v>509</v>
      </c>
      <c r="B148" s="5" t="str">
        <f ca="1">IFERROR(__xludf.DUMMYFUNCTION("AI(""Fill an appropriate value for this cell based on the table context"")"),"the layers of gray and white matter that cover the cerebrum")</f>
        <v>the layers of gray and white matter that cover the cerebrum</v>
      </c>
      <c r="C148" s="5" t="str">
        <f ca="1">IFERROR(__xludf.DUMMYFUNCTION("AI(""Fill an appropriate value for this cell based on the table context"")"),"cerebral cortex, cerebral mantle, cortex")</f>
        <v>cerebral cortex, cerebral mantle, cortex</v>
      </c>
      <c r="D148" s="5" t="str">
        <f ca="1">IFERROR(__xludf.DUMMYFUNCTION("AI(""Fill an appropriate value for this cell based on the table context"")"),"Activity increased in the pallium, a higher brain region associated with complex behaviors.")</f>
        <v>Activity increased in the pallium, a higher brain region associated with complex behaviors.</v>
      </c>
      <c r="E148" s="5"/>
      <c r="F148" s="5"/>
      <c r="G148" s="5"/>
      <c r="H148" s="5"/>
      <c r="I148" s="5"/>
      <c r="J148" s="5"/>
      <c r="K148" s="5"/>
      <c r="L148" s="5"/>
      <c r="M148" s="5"/>
      <c r="N148" s="5"/>
      <c r="O148" s="5"/>
      <c r="P148" s="5"/>
      <c r="Q148" s="5"/>
      <c r="R148" s="5"/>
      <c r="S148" s="5"/>
      <c r="T148" s="5"/>
      <c r="U148" s="5"/>
      <c r="V148" s="5"/>
      <c r="W148" s="5"/>
      <c r="X148" s="5"/>
      <c r="Y148" s="5"/>
      <c r="Z148" s="5"/>
    </row>
    <row r="149" spans="1:26" ht="12.5" x14ac:dyDescent="0.25">
      <c r="A149" s="5" t="s">
        <v>512</v>
      </c>
      <c r="B149" s="5" t="str">
        <f ca="1">IFERROR(__xludf.DUMMYFUNCTION("AI(""Fill an appropriate value for this cell based on the table context"")"),"the largest part of the brain, responsible for conscious thoughts and voluntary actions")</f>
        <v>the largest part of the brain, responsible for conscious thoughts and voluntary actions</v>
      </c>
      <c r="C149" s="5" t="str">
        <f ca="1">IFERROR(__xludf.DUMMYFUNCTION("AI(""Fill an appropriate value for this cell based on the table context"")"),"brain, mind, grey matter")</f>
        <v>brain, mind, grey matter</v>
      </c>
      <c r="D149" s="5" t="str">
        <f ca="1">IFERROR(__xludf.DUMMYFUNCTION("AI(""Fill an appropriate value for this cell based on the table context"")"),"The cerebrum is the largest part of the brain and controls conscious thoughts and voluntary movements.")</f>
        <v>The cerebrum is the largest part of the brain and controls conscious thoughts and voluntary movements.</v>
      </c>
      <c r="E149" s="5"/>
      <c r="F149" s="5"/>
      <c r="G149" s="5"/>
      <c r="H149" s="5"/>
      <c r="I149" s="5"/>
      <c r="J149" s="5"/>
      <c r="K149" s="5"/>
      <c r="L149" s="5"/>
      <c r="M149" s="5"/>
      <c r="N149" s="5"/>
      <c r="O149" s="5"/>
      <c r="P149" s="5"/>
      <c r="Q149" s="5"/>
      <c r="R149" s="5"/>
      <c r="S149" s="5"/>
      <c r="T149" s="5"/>
      <c r="U149" s="5"/>
      <c r="V149" s="5"/>
      <c r="W149" s="5"/>
      <c r="X149" s="5"/>
      <c r="Y149" s="5"/>
      <c r="Z149" s="5"/>
    </row>
    <row r="150" spans="1:26" ht="12.5" x14ac:dyDescent="0.25">
      <c r="A150" s="5" t="s">
        <v>515</v>
      </c>
      <c r="B150" s="5" t="str">
        <f ca="1">IFERROR(__xludf.DUMMYFUNCTION("AI(""Fill an appropriate value for this cell based on the table context"")"),"treat someone as a celebrity or very important person")</f>
        <v>treat someone as a celebrity or very important person</v>
      </c>
      <c r="C150" s="5" t="str">
        <f ca="1">IFERROR(__xludf.DUMMYFUNCTION("AI(""Fill an appropriate value for this cell based on the table context"")"),"glorify, idolize, praise")</f>
        <v>glorify, idolize, praise</v>
      </c>
      <c r="D150" s="5" t="str">
        <f ca="1">IFERROR(__xludf.DUMMYFUNCTION("AI(""Fill an appropriate value for this cell based on the table context"")"),"The press began to lionize the young athlete after he won the championship.")</f>
        <v>The press began to lionize the young athlete after he won the championship.</v>
      </c>
      <c r="E150" s="5"/>
      <c r="F150" s="5"/>
      <c r="G150" s="5"/>
      <c r="H150" s="5"/>
      <c r="I150" s="5"/>
      <c r="J150" s="5"/>
      <c r="K150" s="5"/>
      <c r="L150" s="5"/>
      <c r="M150" s="5"/>
      <c r="N150" s="5"/>
      <c r="O150" s="5"/>
      <c r="P150" s="5"/>
      <c r="Q150" s="5"/>
      <c r="R150" s="5"/>
      <c r="S150" s="5"/>
      <c r="T150" s="5"/>
      <c r="U150" s="5"/>
      <c r="V150" s="5"/>
      <c r="W150" s="5"/>
      <c r="X150" s="5"/>
      <c r="Y150" s="5"/>
      <c r="Z150" s="5"/>
    </row>
    <row r="151" spans="1:26" ht="12.5" x14ac:dyDescent="0.25">
      <c r="A151" s="5" t="s">
        <v>520</v>
      </c>
      <c r="B151" s="5" t="str">
        <f ca="1">IFERROR(__xludf.DUMMYFUNCTION("AI(""Fill an appropriate value for this cell based on the table context"")"),"relating to teaching or education")</f>
        <v>relating to teaching or education</v>
      </c>
      <c r="C151" s="5" t="str">
        <f ca="1">IFERROR(__xludf.DUMMYFUNCTION("AI(""Fill an appropriate value for this cell based on the table context"")"),"instructional, educational, didactic")</f>
        <v>instructional, educational, didactic</v>
      </c>
      <c r="D151" s="5" t="str">
        <f ca="1">IFERROR(__xludf.DUMMYFUNCTION("AI(""Fill an appropriate value for this cell based on the table context"")"),"The school adopted a new pedagogic strategy to improve student engagement.")</f>
        <v>The school adopted a new pedagogic strategy to improve student engagement.</v>
      </c>
      <c r="E151" s="5"/>
      <c r="F151" s="5"/>
      <c r="G151" s="5"/>
      <c r="H151" s="5"/>
      <c r="I151" s="5"/>
      <c r="J151" s="5"/>
      <c r="K151" s="5"/>
      <c r="L151" s="5"/>
      <c r="M151" s="5"/>
      <c r="N151" s="5"/>
      <c r="O151" s="5"/>
      <c r="P151" s="5"/>
      <c r="Q151" s="5"/>
      <c r="R151" s="5"/>
      <c r="S151" s="5"/>
      <c r="T151" s="5"/>
      <c r="U151" s="5"/>
      <c r="V151" s="5"/>
      <c r="W151" s="5"/>
      <c r="X151" s="5"/>
      <c r="Y151" s="5"/>
      <c r="Z151" s="5"/>
    </row>
    <row r="152" spans="1:26" ht="12.5" x14ac:dyDescent="0.25">
      <c r="A152" s="5" t="s">
        <v>523</v>
      </c>
      <c r="B152" s="5" t="str">
        <f ca="1">IFERROR(__xludf.DUMMYFUNCTION("AI(""Fill an appropriate value for this cell based on the table context"")"),"officially announce or make something widely known, especially a law or idea")</f>
        <v>officially announce or make something widely known, especially a law or idea</v>
      </c>
      <c r="C152" s="5" t="str">
        <f ca="1">IFERROR(__xludf.DUMMYFUNCTION("AI(""Fill an appropriate value for this cell based on the table context"")"),"announce, declare, proclaim")</f>
        <v>announce, declare, proclaim</v>
      </c>
      <c r="D152" s="5" t="str">
        <f ca="1">IFERROR(__xludf.DUMMYFUNCTION("AI(""Fill an appropriate value for this cell based on the table context"")"),"The government plans to promulgate new education policies.")</f>
        <v>The government plans to promulgate new education policies.</v>
      </c>
      <c r="E152" s="5"/>
      <c r="F152" s="5"/>
      <c r="G152" s="5"/>
      <c r="H152" s="5"/>
      <c r="I152" s="5"/>
      <c r="J152" s="5"/>
      <c r="K152" s="5"/>
      <c r="L152" s="5"/>
      <c r="M152" s="5"/>
      <c r="N152" s="5"/>
      <c r="O152" s="5"/>
      <c r="P152" s="5"/>
      <c r="Q152" s="5"/>
      <c r="R152" s="5"/>
      <c r="S152" s="5"/>
      <c r="T152" s="5"/>
      <c r="U152" s="5"/>
      <c r="V152" s="5"/>
      <c r="W152" s="5"/>
      <c r="X152" s="5"/>
      <c r="Y152" s="5"/>
      <c r="Z152" s="5"/>
    </row>
    <row r="153" spans="1:26" ht="12.5" x14ac:dyDescent="0.25">
      <c r="A153" s="5" t="s">
        <v>526</v>
      </c>
      <c r="B153" s="5" t="str">
        <f ca="1">IFERROR(__xludf.DUMMYFUNCTION("AI(""Fill an appropriate value for this cell based on the table context"")"),"helpful or useful in a particular situation, but sometimes not morally acceptable")</f>
        <v>helpful or useful in a particular situation, but sometimes not morally acceptable</v>
      </c>
      <c r="C153" s="5" t="str">
        <f ca="1">IFERROR(__xludf.DUMMYFUNCTION("AI(""Fill an appropriate value for this cell based on the table context"")"),"advantageous, prudent, politic")</f>
        <v>advantageous, prudent, politic</v>
      </c>
      <c r="D153" s="5" t="str">
        <f ca="1">IFERROR(__xludf.DUMMYFUNCTION("AI(""Fill an appropriate value for this cell based on the table context"")"),"The company found it expedient to falsify the reports to avoid a public scandal.")</f>
        <v>The company found it expedient to falsify the reports to avoid a public scandal.</v>
      </c>
      <c r="E153" s="5"/>
      <c r="F153" s="5"/>
      <c r="G153" s="5"/>
      <c r="H153" s="5"/>
      <c r="I153" s="5"/>
      <c r="J153" s="5"/>
      <c r="K153" s="5"/>
      <c r="L153" s="5"/>
      <c r="M153" s="5"/>
      <c r="N153" s="5"/>
      <c r="O153" s="5"/>
      <c r="P153" s="5"/>
      <c r="Q153" s="5"/>
      <c r="R153" s="5"/>
      <c r="S153" s="5"/>
      <c r="T153" s="5"/>
      <c r="U153" s="5"/>
      <c r="V153" s="5"/>
      <c r="W153" s="5"/>
      <c r="X153" s="5"/>
      <c r="Y153" s="5"/>
      <c r="Z153" s="5"/>
    </row>
    <row r="154" spans="1:26" ht="12.5" x14ac:dyDescent="0.25">
      <c r="A154" s="5" t="s">
        <v>529</v>
      </c>
      <c r="B154" s="5" t="str">
        <f ca="1">IFERROR(__xludf.DUMMYFUNCTION("AI(""Fill an appropriate value for this cell based on the table context"")"),"wise, prudent, or shrewd in practical matters; tactful or diplomatic")</f>
        <v>wise, prudent, or shrewd in practical matters; tactful or diplomatic</v>
      </c>
      <c r="C154" s="5" t="str">
        <f ca="1">IFERROR(__xludf.DUMMYFUNCTION("AI(""Fill an appropriate value for this cell based on the table context"")"),"diplomatic, prudent, politic")</f>
        <v>diplomatic, prudent, politic</v>
      </c>
      <c r="D154" s="5" t="str">
        <f ca="1">IFERROR(__xludf.DUMMYFUNCTION("AI(""Fill an appropriate value for this cell based on the table context"")"),"The diplomat gave a politic response to avoid creating a conflict.")</f>
        <v>The diplomat gave a politic response to avoid creating a conflict.</v>
      </c>
      <c r="E154" s="5"/>
      <c r="F154" s="5"/>
      <c r="G154" s="5"/>
      <c r="H154" s="5"/>
      <c r="I154" s="5"/>
      <c r="J154" s="5"/>
      <c r="K154" s="5"/>
      <c r="L154" s="5"/>
      <c r="M154" s="5"/>
      <c r="N154" s="5"/>
      <c r="O154" s="5"/>
      <c r="P154" s="5"/>
      <c r="Q154" s="5"/>
      <c r="R154" s="5"/>
      <c r="S154" s="5"/>
      <c r="T154" s="5"/>
      <c r="U154" s="5"/>
      <c r="V154" s="5"/>
      <c r="W154" s="5"/>
      <c r="X154" s="5"/>
      <c r="Y154" s="5"/>
      <c r="Z154" s="5"/>
    </row>
    <row r="155" spans="1:26" ht="12.5" x14ac:dyDescent="0.25">
      <c r="A155" s="5" t="s">
        <v>531</v>
      </c>
      <c r="B155" s="5" t="str">
        <f ca="1">IFERROR(__xludf.DUMMYFUNCTION("AI(""Fill an appropriate value for this cell based on the table context"")"),"go against or violate a law or rule")</f>
        <v>go against or violate a law or rule</v>
      </c>
      <c r="C155" s="5" t="str">
        <f ca="1">IFERROR(__xludf.DUMMYFUNCTION("AI(""Fill an appropriate value for this cell based on the table context"")"),"violate, contradict, breach")</f>
        <v>violate, contradict, breach</v>
      </c>
      <c r="D155" s="5" t="str">
        <f ca="1">IFERROR(__xludf.DUMMYFUNCTION("AI(""Fill an appropriate value for this cell based on the table context"")"),"The company decided to fire the employee after he chose to contravene their strict safety regulations.")</f>
        <v>The company decided to fire the employee after he chose to contravene their strict safety regulations.</v>
      </c>
      <c r="E155" s="5"/>
      <c r="F155" s="5"/>
      <c r="G155" s="5"/>
      <c r="H155" s="5"/>
      <c r="I155" s="5"/>
      <c r="J155" s="5"/>
      <c r="K155" s="5"/>
      <c r="L155" s="5"/>
      <c r="M155" s="5"/>
      <c r="N155" s="5"/>
      <c r="O155" s="5"/>
      <c r="P155" s="5"/>
      <c r="Q155" s="5"/>
      <c r="R155" s="5"/>
      <c r="S155" s="5"/>
      <c r="T155" s="5"/>
      <c r="U155" s="5"/>
      <c r="V155" s="5"/>
      <c r="W155" s="5"/>
      <c r="X155" s="5"/>
      <c r="Y155" s="5"/>
      <c r="Z155" s="5"/>
    </row>
    <row r="156" spans="1:26" ht="12.5" x14ac:dyDescent="0.25">
      <c r="A156" s="5" t="s">
        <v>533</v>
      </c>
      <c r="B156" s="5" t="str">
        <f ca="1">IFERROR(__xludf.DUMMYFUNCTION("AI(""Fill an appropriate value for this cell based on the table context"")"),"careless and not doing a duty well enough")</f>
        <v>careless and not doing a duty well enough</v>
      </c>
      <c r="C156" s="5" t="str">
        <f ca="1">IFERROR(__xludf.DUMMYFUNCTION("AI(""Fill an appropriate value for this cell based on the table context"")"),"careless, negligent, lax")</f>
        <v>careless, negligent, lax</v>
      </c>
      <c r="D156" s="5" t="str">
        <f ca="1">IFERROR(__xludf.DUMMYFUNCTION("AI(""Fill an appropriate value for this cell based on the table context"")"),"The manager was remiss in failing to notify the team about the upcoming deadline change.")</f>
        <v>The manager was remiss in failing to notify the team about the upcoming deadline change.</v>
      </c>
      <c r="E156" s="5"/>
      <c r="F156" s="5"/>
      <c r="G156" s="5"/>
      <c r="H156" s="5"/>
      <c r="I156" s="5"/>
      <c r="J156" s="5"/>
      <c r="K156" s="5"/>
      <c r="L156" s="5"/>
      <c r="M156" s="5"/>
      <c r="N156" s="5"/>
      <c r="O156" s="5"/>
      <c r="P156" s="5"/>
      <c r="Q156" s="5"/>
      <c r="R156" s="5"/>
      <c r="S156" s="5"/>
      <c r="T156" s="5"/>
      <c r="U156" s="5"/>
      <c r="V156" s="5"/>
      <c r="W156" s="5"/>
      <c r="X156" s="5"/>
      <c r="Y156" s="5"/>
      <c r="Z156" s="5"/>
    </row>
    <row r="157" spans="1:26" ht="12.5" x14ac:dyDescent="0.25">
      <c r="A157" s="5" t="s">
        <v>536</v>
      </c>
      <c r="B157" s="5" t="str">
        <f ca="1">IFERROR(__xludf.DUMMYFUNCTION("AI(""Fill an appropriate value for this cell based on the table context"")"),"excessively flattering, smooth, or ingratiating in an insincere manner")</f>
        <v>excessively flattering, smooth, or ingratiating in an insincere manner</v>
      </c>
      <c r="C157" s="5" t="str">
        <f ca="1">IFERROR(__xludf.DUMMYFUNCTION("AI(""Fill an appropriate value for this cell based on the table context"")"),"obsequious, sycophantic, ingratiating")</f>
        <v>obsequious, sycophantic, ingratiating</v>
      </c>
      <c r="D157" s="5" t="str">
        <f ca="1">IFERROR(__xludf.DUMMYFUNCTION("AI(""Fill an appropriate value for this cell based on the table context"")"),"The salesman's unctuous compliments made her instantly suspicious.")</f>
        <v>The salesman's unctuous compliments made her instantly suspicious.</v>
      </c>
      <c r="E157" s="5"/>
      <c r="F157" s="5"/>
      <c r="G157" s="5"/>
      <c r="H157" s="5"/>
      <c r="I157" s="5"/>
      <c r="J157" s="5"/>
      <c r="K157" s="5"/>
      <c r="L157" s="5"/>
      <c r="M157" s="5"/>
      <c r="N157" s="5"/>
      <c r="O157" s="5"/>
      <c r="P157" s="5"/>
      <c r="Q157" s="5"/>
      <c r="R157" s="5"/>
      <c r="S157" s="5"/>
      <c r="T157" s="5"/>
      <c r="U157" s="5"/>
      <c r="V157" s="5"/>
      <c r="W157" s="5"/>
      <c r="X157" s="5"/>
      <c r="Y157" s="5"/>
      <c r="Z157" s="5"/>
    </row>
    <row r="158" spans="1:26" ht="12.5" x14ac:dyDescent="0.25">
      <c r="A158" s="5" t="s">
        <v>539</v>
      </c>
      <c r="B158" s="5" t="str">
        <f ca="1">IFERROR(__xludf.DUMMYFUNCTION("AI(""Fill an appropriate value for this cell based on the table context"")"),"intended to gain favor or approval, typically by deliberate effort")</f>
        <v>intended to gain favor or approval, typically by deliberate effort</v>
      </c>
      <c r="C158" s="5" t="str">
        <f ca="1">IFERROR(__xludf.DUMMYFUNCTION("AI(""Fill an appropriate value for this cell based on the table context"")"),"obsequious, sycophantic, unctuous")</f>
        <v>obsequious, sycophantic, unctuous</v>
      </c>
      <c r="D158" s="5" t="str">
        <f ca="1">IFERROR(__xludf.DUMMYFUNCTION("AI(""Fill an appropriate value for this cell based on the table context"")"),"The new employee offered an ingratiating smile in an attempt to quickly win over the manager.")</f>
        <v>The new employee offered an ingratiating smile in an attempt to quickly win over the manager.</v>
      </c>
      <c r="E158" s="5"/>
      <c r="F158" s="5"/>
      <c r="G158" s="5"/>
      <c r="H158" s="5"/>
      <c r="I158" s="5"/>
      <c r="J158" s="5"/>
      <c r="K158" s="5"/>
      <c r="L158" s="5"/>
      <c r="M158" s="5"/>
      <c r="N158" s="5"/>
      <c r="O158" s="5"/>
      <c r="P158" s="5"/>
      <c r="Q158" s="5"/>
      <c r="R158" s="5"/>
      <c r="S158" s="5"/>
      <c r="T158" s="5"/>
      <c r="U158" s="5"/>
      <c r="V158" s="5"/>
      <c r="W158" s="5"/>
      <c r="X158" s="5"/>
      <c r="Y158" s="5"/>
      <c r="Z158" s="5"/>
    </row>
    <row r="159" spans="1:26" ht="12.5" x14ac:dyDescent="0.25">
      <c r="A159" s="5" t="s">
        <v>540</v>
      </c>
      <c r="B159" s="5" t="str">
        <f ca="1">IFERROR(__xludf.DUMMYFUNCTION("AI(""Fill an appropriate value for this cell based on the table context"")"),"without meaning, silly")</f>
        <v>without meaning, silly</v>
      </c>
      <c r="C159" s="5" t="str">
        <f ca="1">IFERROR(__xludf.DUMMYFUNCTION("AI(""Fill an appropriate value for this cell based on the table context"")"),"foolish, senseless, silly")</f>
        <v>foolish, senseless, silly</v>
      </c>
      <c r="D159" s="5" t="str">
        <f ca="1">IFERROR(__xludf.DUMMYFUNCTION("AI(""Fill an appropriate value for this cell based on the table context"")"),"I ignored his inane remarks and continued working.")</f>
        <v>I ignored his inane remarks and continued working.</v>
      </c>
      <c r="E159" s="5"/>
      <c r="F159" s="5"/>
      <c r="G159" s="5"/>
      <c r="H159" s="5"/>
      <c r="I159" s="5"/>
      <c r="J159" s="5"/>
      <c r="K159" s="5"/>
      <c r="L159" s="5"/>
      <c r="M159" s="5"/>
      <c r="N159" s="5"/>
      <c r="O159" s="5"/>
      <c r="P159" s="5"/>
      <c r="Q159" s="5"/>
      <c r="R159" s="5"/>
      <c r="S159" s="5"/>
      <c r="T159" s="5"/>
      <c r="U159" s="5"/>
      <c r="V159" s="5"/>
      <c r="W159" s="5"/>
      <c r="X159" s="5"/>
      <c r="Y159" s="5"/>
      <c r="Z159" s="5"/>
    </row>
    <row r="160" spans="1:26" ht="12.5" x14ac:dyDescent="0.25">
      <c r="A160" s="5" t="s">
        <v>543</v>
      </c>
      <c r="B160" s="5" t="str">
        <f ca="1">IFERROR(__xludf.DUMMYFUNCTION("AI(""Fill an appropriate value for this cell based on the table context"")"),"spending money or resources freely and recklessly; wastefully extravagant")</f>
        <v>spending money or resources freely and recklessly; wastefully extravagant</v>
      </c>
      <c r="C160" s="5" t="str">
        <f ca="1">IFERROR(__xludf.DUMMYFUNCTION("AI(""Fill an appropriate value for this cell based on the table context"")"),"wasteful, extravagant, spendthrift")</f>
        <v>wasteful, extravagant, spendthrift</v>
      </c>
      <c r="D160" s="5" t="str">
        <f ca="1">IFERROR(__xludf.DUMMYFUNCTION("AI(""Fill an appropriate value for this cell based on the table context"")"),"The prodigal prince spent his entire inheritance on lavish parties and luxury cars.")</f>
        <v>The prodigal prince spent his entire inheritance on lavish parties and luxury cars.</v>
      </c>
      <c r="E160" s="5"/>
      <c r="F160" s="5"/>
      <c r="G160" s="5"/>
      <c r="H160" s="5"/>
      <c r="I160" s="5"/>
      <c r="J160" s="5"/>
      <c r="K160" s="5"/>
      <c r="L160" s="5"/>
      <c r="M160" s="5"/>
      <c r="N160" s="5"/>
      <c r="O160" s="5"/>
      <c r="P160" s="5"/>
      <c r="Q160" s="5"/>
      <c r="R160" s="5"/>
      <c r="S160" s="5"/>
      <c r="T160" s="5"/>
      <c r="U160" s="5"/>
      <c r="V160" s="5"/>
      <c r="W160" s="5"/>
      <c r="X160" s="5"/>
      <c r="Y160" s="5"/>
      <c r="Z160" s="5"/>
    </row>
    <row r="161" spans="1:26" ht="12.5" x14ac:dyDescent="0.25">
      <c r="A161" s="5" t="s">
        <v>546</v>
      </c>
      <c r="B161" s="5" t="str">
        <f ca="1">IFERROR(__xludf.DUMMYFUNCTION("AI(""Fill an appropriate value for this cell based on the table context"")"),"reduce in quality, value, or moral character")</f>
        <v>reduce in quality, value, or moral character</v>
      </c>
      <c r="C161" s="5" t="str">
        <f ca="1">IFERROR(__xludf.DUMMYFUNCTION("AI(""Fill an appropriate value for this cell based on the table context"")"),"degrade, demean, cheapen")</f>
        <v>degrade, demean, cheapen</v>
      </c>
      <c r="D161" s="5" t="str">
        <f ca="1">IFERROR(__xludf.DUMMYFUNCTION("AI(""Fill an appropriate value for this cell based on the table context"")"),"The politician's scandals threatened to debase the integrity of the public office.")</f>
        <v>The politician's scandals threatened to debase the integrity of the public office.</v>
      </c>
      <c r="E161" s="5"/>
      <c r="F161" s="5"/>
      <c r="G161" s="5"/>
      <c r="H161" s="5"/>
      <c r="I161" s="5"/>
      <c r="J161" s="5"/>
      <c r="K161" s="5"/>
      <c r="L161" s="5"/>
      <c r="M161" s="5"/>
      <c r="N161" s="5"/>
      <c r="O161" s="5"/>
      <c r="P161" s="5"/>
      <c r="Q161" s="5"/>
      <c r="R161" s="5"/>
      <c r="S161" s="5"/>
      <c r="T161" s="5"/>
      <c r="U161" s="5"/>
      <c r="V161" s="5"/>
      <c r="W161" s="5"/>
      <c r="X161" s="5"/>
      <c r="Y161" s="5"/>
      <c r="Z161" s="5"/>
    </row>
    <row r="162" spans="1:26" ht="12.5" x14ac:dyDescent="0.25">
      <c r="A162" s="5" t="s">
        <v>548</v>
      </c>
      <c r="B162" s="5" t="str">
        <f ca="1">IFERROR(__xludf.DUMMYFUNCTION("AI(""Fill an appropriate value for this cell based on the table context"")"),"uncertain in purpose or action, wavering, or indecisive")</f>
        <v>uncertain in purpose or action, wavering, or indecisive</v>
      </c>
      <c r="C162" s="5" t="str">
        <f ca="1">IFERROR(__xludf.DUMMYFUNCTION("AI(""Fill an appropriate value for this cell based on the table context"")"),"wavering, hesitant, irresolute")</f>
        <v>wavering, hesitant, irresolute</v>
      </c>
      <c r="D162" s="5" t="str">
        <f ca="1">IFERROR(__xludf.DUMMYFUNCTION("AI(""Fill an appropriate value for this cell based on the table context"")"),"The manager's vacillating leadership style left the team confused about their goals.")</f>
        <v>The manager's vacillating leadership style left the team confused about their goals.</v>
      </c>
      <c r="E162" s="5"/>
      <c r="F162" s="5"/>
      <c r="G162" s="5"/>
      <c r="H162" s="5"/>
      <c r="I162" s="5"/>
      <c r="J162" s="5"/>
      <c r="K162" s="5"/>
      <c r="L162" s="5"/>
      <c r="M162" s="5"/>
      <c r="N162" s="5"/>
      <c r="O162" s="5"/>
      <c r="P162" s="5"/>
      <c r="Q162" s="5"/>
      <c r="R162" s="5"/>
      <c r="S162" s="5"/>
      <c r="T162" s="5"/>
      <c r="U162" s="5"/>
      <c r="V162" s="5"/>
      <c r="W162" s="5"/>
      <c r="X162" s="5"/>
      <c r="Y162" s="5"/>
      <c r="Z162" s="5"/>
    </row>
    <row r="163" spans="1:26" ht="12.5" x14ac:dyDescent="0.25">
      <c r="A163" s="5" t="s">
        <v>550</v>
      </c>
      <c r="B163" s="5" t="str">
        <f ca="1">IFERROR(__xludf.DUMMYFUNCTION("AI(""Fill an appropriate value for this cell based on the table context"")"),"rude and not showing respect")</f>
        <v>rude and not showing respect</v>
      </c>
      <c r="C163" s="5" t="str">
        <f ca="1">IFERROR(__xludf.DUMMYFUNCTION("AI(""Fill an appropriate value for this cell based on the table context"")"),"insolent, impertinent, brazen")</f>
        <v>insolent, impertinent, brazen</v>
      </c>
      <c r="D163" s="5" t="str">
        <f ca="1">IFERROR(__xludf.DUMMYFUNCTION("AI(""Fill an appropriate value for this cell based on the table context"")"),"The teacher threatened to kick the impudent pupil out of the room.")</f>
        <v>The teacher threatened to kick the impudent pupil out of the room.</v>
      </c>
      <c r="E163" s="5"/>
      <c r="F163" s="5"/>
      <c r="G163" s="5"/>
      <c r="H163" s="5"/>
      <c r="I163" s="5"/>
      <c r="J163" s="5"/>
      <c r="K163" s="5"/>
      <c r="L163" s="5"/>
      <c r="M163" s="5"/>
      <c r="N163" s="5"/>
      <c r="O163" s="5"/>
      <c r="P163" s="5"/>
      <c r="Q163" s="5"/>
      <c r="R163" s="5"/>
      <c r="S163" s="5"/>
      <c r="T163" s="5"/>
      <c r="U163" s="5"/>
      <c r="V163" s="5"/>
      <c r="W163" s="5"/>
      <c r="X163" s="5"/>
      <c r="Y163" s="5"/>
      <c r="Z163" s="5"/>
    </row>
    <row r="164" spans="1:26" ht="12.5" x14ac:dyDescent="0.25">
      <c r="A164" s="5" t="s">
        <v>553</v>
      </c>
      <c r="B164" s="5" t="str">
        <f ca="1">IFERROR(__xludf.DUMMYFUNCTION("AI(""Fill an appropriate value for this cell based on the table context"")"),"rude and disrespectful, especially toward someone of higher status")</f>
        <v>rude and disrespectful, especially toward someone of higher status</v>
      </c>
      <c r="C164" s="5" t="str">
        <f ca="1">IFERROR(__xludf.DUMMYFUNCTION("AI(""Fill an appropriate value for this cell based on the table context"")"),"rude, insolent, impudent")</f>
        <v>rude, insolent, impudent</v>
      </c>
      <c r="D164" s="5" t="str">
        <f ca="1">IFERROR(__xludf.DUMMYFUNCTION("AI(""Fill an appropriate value for this cell based on the table context"")"),"The intern's impertinent remarks shocked the entire boardroom.")</f>
        <v>The intern's impertinent remarks shocked the entire boardroom.</v>
      </c>
      <c r="E164" s="5"/>
      <c r="F164" s="5"/>
      <c r="G164" s="5"/>
      <c r="H164" s="5"/>
      <c r="I164" s="5"/>
      <c r="J164" s="5"/>
      <c r="K164" s="5"/>
      <c r="L164" s="5"/>
      <c r="M164" s="5"/>
      <c r="N164" s="5"/>
      <c r="O164" s="5"/>
      <c r="P164" s="5"/>
      <c r="Q164" s="5"/>
      <c r="R164" s="5"/>
      <c r="S164" s="5"/>
      <c r="T164" s="5"/>
      <c r="U164" s="5"/>
      <c r="V164" s="5"/>
      <c r="W164" s="5"/>
      <c r="X164" s="5"/>
      <c r="Y164" s="5"/>
      <c r="Z164" s="5"/>
    </row>
    <row r="165" spans="1:26" ht="12.5" x14ac:dyDescent="0.25">
      <c r="A165" s="5" t="s">
        <v>555</v>
      </c>
      <c r="B165" s="5" t="str">
        <f ca="1">IFERROR(__xludf.DUMMYFUNCTION("AI(""Fill an appropriate value for this cell based on the table context"")"),"boring and having no meaning because of being said so many times before")</f>
        <v>boring and having no meaning because of being said so many times before</v>
      </c>
      <c r="C165" s="5" t="str">
        <f ca="1">IFERROR(__xludf.DUMMYFUNCTION("AI(""Fill an appropriate value for this cell based on the table context"")"),"hackneyed, trite, banal")</f>
        <v>hackneyed, trite, banal</v>
      </c>
      <c r="D165" s="5" t="str">
        <f ca="1">IFERROR(__xludf.DUMMYFUNCTION("AI(""Fill an appropriate value for this cell based on the table context"")"),"The critic dismissed the politician's speech as a series of platitudinous statements about hope and change, lacking any concrete policy.")</f>
        <v>The critic dismissed the politician's speech as a series of platitudinous statements about hope and change, lacking any concrete policy.</v>
      </c>
      <c r="E165" s="5"/>
      <c r="F165" s="5"/>
      <c r="G165" s="5"/>
      <c r="H165" s="5"/>
      <c r="I165" s="5"/>
      <c r="J165" s="5"/>
      <c r="K165" s="5"/>
      <c r="L165" s="5"/>
      <c r="M165" s="5"/>
      <c r="N165" s="5"/>
      <c r="O165" s="5"/>
      <c r="P165" s="5"/>
      <c r="Q165" s="5"/>
      <c r="R165" s="5"/>
      <c r="S165" s="5"/>
      <c r="T165" s="5"/>
      <c r="U165" s="5"/>
      <c r="V165" s="5"/>
      <c r="W165" s="5"/>
      <c r="X165" s="5"/>
      <c r="Y165" s="5"/>
      <c r="Z165" s="5"/>
    </row>
    <row r="166" spans="1:26" ht="12.5" x14ac:dyDescent="0.25">
      <c r="A166" s="5" t="s">
        <v>557</v>
      </c>
      <c r="B166" s="5" t="str">
        <f ca="1">IFERROR(__xludf.DUMMYFUNCTION("AI(""Fill an appropriate value for this cell based on the table context"")"),"strong public criticism or blame")</f>
        <v>strong public criticism or blame</v>
      </c>
      <c r="C166" s="5" t="str">
        <f ca="1">IFERROR(__xludf.DUMMYFUNCTION("AI(""Fill an appropriate value for this cell based on the table context"")"),"abuse, vituperation, invective")</f>
        <v>abuse, vituperation, invective</v>
      </c>
      <c r="D166" s="5" t="str">
        <f ca="1">IFERROR(__xludf.DUMMYFUNCTION("AI(""Fill an appropriate value for this cell based on the table context"")"),"The politician faced public obloquy after the corruption scandal was exposed.")</f>
        <v>The politician faced public obloquy after the corruption scandal was exposed.</v>
      </c>
      <c r="E166" s="5"/>
      <c r="F166" s="5"/>
      <c r="G166" s="5"/>
      <c r="H166" s="5"/>
      <c r="I166" s="5"/>
      <c r="J166" s="5"/>
      <c r="K166" s="5"/>
      <c r="L166" s="5"/>
      <c r="M166" s="5"/>
      <c r="N166" s="5"/>
      <c r="O166" s="5"/>
      <c r="P166" s="5"/>
      <c r="Q166" s="5"/>
      <c r="R166" s="5"/>
      <c r="S166" s="5"/>
      <c r="T166" s="5"/>
      <c r="U166" s="5"/>
      <c r="V166" s="5"/>
      <c r="W166" s="5"/>
      <c r="X166" s="5"/>
      <c r="Y166" s="5"/>
      <c r="Z166" s="5"/>
    </row>
    <row r="167" spans="1:26" ht="12.5" x14ac:dyDescent="0.25">
      <c r="A167" s="5" t="s">
        <v>560</v>
      </c>
      <c r="B167" s="5" t="str">
        <f ca="1">IFERROR(__xludf.DUMMYFUNCTION("AI(""Fill an appropriate value for this cell based on the table context"")"),"the action of saying that someone or something is not good or important")</f>
        <v>the action of saying that someone or something is not good or important</v>
      </c>
      <c r="C167" s="5" t="str">
        <f ca="1">IFERROR(__xludf.DUMMYFUNCTION("AI(""Fill an appropriate value for this cell based on the table context"")"),"defamation, disparagement, slander")</f>
        <v>defamation, disparagement, slander</v>
      </c>
      <c r="D167" s="5" t="str">
        <f ca="1">IFERROR(__xludf.DUMMYFUNCTION("AI(""Fill an appropriate value for this cell based on the table context"")"),"She is confused and hurt by her constant denigration by the media.")</f>
        <v>She is confused and hurt by her constant denigration by the media.</v>
      </c>
      <c r="E167" s="5"/>
      <c r="F167" s="5"/>
      <c r="G167" s="5"/>
      <c r="H167" s="5"/>
      <c r="I167" s="5"/>
      <c r="J167" s="5"/>
      <c r="K167" s="5"/>
      <c r="L167" s="5"/>
      <c r="M167" s="5"/>
      <c r="N167" s="5"/>
      <c r="O167" s="5"/>
      <c r="P167" s="5"/>
      <c r="Q167" s="5"/>
      <c r="R167" s="5"/>
      <c r="S167" s="5"/>
      <c r="T167" s="5"/>
      <c r="U167" s="5"/>
      <c r="V167" s="5"/>
      <c r="W167" s="5"/>
      <c r="X167" s="5"/>
      <c r="Y167" s="5"/>
      <c r="Z167" s="5"/>
    </row>
    <row r="168" spans="1:26" ht="12.5" x14ac:dyDescent="0.25">
      <c r="A168" s="5" t="s">
        <v>563</v>
      </c>
      <c r="B168" s="5" t="str">
        <f ca="1">IFERROR(__xludf.DUMMYFUNCTION("AI(""Fill an appropriate value for this cell based on the table context"")"),"cruel and angry criticism")</f>
        <v>cruel and angry criticism</v>
      </c>
      <c r="C168" s="5" t="str">
        <f ca="1">IFERROR(__xludf.DUMMYFUNCTION("AI(""Fill an appropriate value for this cell based on the table context"")"),"abuse, vituperation, invective")</f>
        <v>abuse, vituperation, invective</v>
      </c>
      <c r="D168" s="5" t="str">
        <f ca="1">IFERROR(__xludf.DUMMYFUNCTION("AI(""Fill an appropriate value for this cell based on the table context"")"),"The politician faced public obloquy and vituperation after the corruption scandal was exposed.")</f>
        <v>The politician faced public obloquy and vituperation after the corruption scandal was exposed.</v>
      </c>
      <c r="E168" s="5"/>
      <c r="F168" s="5"/>
      <c r="G168" s="5"/>
      <c r="H168" s="5"/>
      <c r="I168" s="5"/>
      <c r="J168" s="5"/>
      <c r="K168" s="5"/>
      <c r="L168" s="5"/>
      <c r="M168" s="5"/>
      <c r="N168" s="5"/>
      <c r="O168" s="5"/>
      <c r="P168" s="5"/>
      <c r="Q168" s="5"/>
      <c r="R168" s="5"/>
      <c r="S168" s="5"/>
      <c r="T168" s="5"/>
      <c r="U168" s="5"/>
      <c r="V168" s="5"/>
      <c r="W168" s="5"/>
      <c r="X168" s="5"/>
      <c r="Y168" s="5"/>
      <c r="Z168" s="5"/>
    </row>
    <row r="169" spans="1:26" ht="12.5" x14ac:dyDescent="0.25">
      <c r="A169" s="5" t="s">
        <v>566</v>
      </c>
      <c r="B169" s="5" t="str">
        <f ca="1">IFERROR(__xludf.DUMMYFUNCTION("AI(""Fill an appropriate value for this cell based on the table context"")"),"harsh and abusive language")</f>
        <v>harsh and abusive language</v>
      </c>
      <c r="C169" s="5" t="str">
        <f ca="1">IFERROR(__xludf.DUMMYFUNCTION("AI(""Fill an appropriate value for this cell based on the table context"")"),"abuse, vituperation, obloquy")</f>
        <v>abuse, vituperation, obloquy</v>
      </c>
      <c r="D169" s="5" t="str">
        <f ca="1">IFERROR(__xludf.DUMMYFUNCTION("AI(""Fill an appropriate value for this cell based on the table context"")"),"The critic's review was filled with harsh invective against the new play.")</f>
        <v>The critic's review was filled with harsh invective against the new play.</v>
      </c>
      <c r="E169" s="5"/>
      <c r="F169" s="5"/>
      <c r="G169" s="5"/>
      <c r="H169" s="5"/>
      <c r="I169" s="5"/>
      <c r="J169" s="5"/>
      <c r="K169" s="5"/>
      <c r="L169" s="5"/>
      <c r="M169" s="5"/>
      <c r="N169" s="5"/>
      <c r="O169" s="5"/>
      <c r="P169" s="5"/>
      <c r="Q169" s="5"/>
      <c r="R169" s="5"/>
      <c r="S169" s="5"/>
      <c r="T169" s="5"/>
      <c r="U169" s="5"/>
      <c r="V169" s="5"/>
      <c r="W169" s="5"/>
      <c r="X169" s="5"/>
      <c r="Y169" s="5"/>
      <c r="Z169" s="5"/>
    </row>
    <row r="170" spans="1:26" ht="12.5" x14ac:dyDescent="0.25">
      <c r="A170" s="5" t="s">
        <v>569</v>
      </c>
      <c r="B170" s="5" t="str">
        <f ca="1">IFERROR(__xludf.DUMMYFUNCTION("AI(""Fill an appropriate value for this cell based on the table context"")"),"bitterly regret something one has done or allowed to happen")</f>
        <v>bitterly regret something one has done or allowed to happen</v>
      </c>
      <c r="C170" s="5" t="str">
        <f ca="1">IFERROR(__xludf.DUMMYFUNCTION("AI(""Fill an appropriate value for this cell based on the table context"")"),"regret, lament, repent")</f>
        <v>regret, lament, repent</v>
      </c>
      <c r="D170" s="5" t="str">
        <f ca="1">IFERROR(__xludf.DUMMYFUNCTION("AI(""Fill an appropriate value for this cell based on the table context"")"),"He will live to rue the day he walked away from such a brilliant opportunity.")</f>
        <v>He will live to rue the day he walked away from such a brilliant opportunity.</v>
      </c>
      <c r="E170" s="5"/>
      <c r="F170" s="5"/>
      <c r="G170" s="5"/>
      <c r="H170" s="5"/>
      <c r="I170" s="5"/>
      <c r="J170" s="5"/>
      <c r="K170" s="5"/>
      <c r="L170" s="5"/>
      <c r="M170" s="5"/>
      <c r="N170" s="5"/>
      <c r="O170" s="5"/>
      <c r="P170" s="5"/>
      <c r="Q170" s="5"/>
      <c r="R170" s="5"/>
      <c r="S170" s="5"/>
      <c r="T170" s="5"/>
      <c r="U170" s="5"/>
      <c r="V170" s="5"/>
      <c r="W170" s="5"/>
      <c r="X170" s="5"/>
      <c r="Y170" s="5"/>
      <c r="Z170" s="5"/>
    </row>
    <row r="171" spans="1:26" ht="12.5" x14ac:dyDescent="0.25">
      <c r="A171" s="5" t="s">
        <v>572</v>
      </c>
      <c r="B171" s="5" t="str">
        <f ca="1">IFERROR(__xludf.DUMMYFUNCTION("AI(""Fill an appropriate value for this cell based on the table context"")"),"have a strong desire for something")</f>
        <v>have a strong desire for something</v>
      </c>
      <c r="C171" s="5" t="str">
        <f ca="1">IFERROR(__xludf.DUMMYFUNCTION("AI(""Fill an appropriate value for this cell based on the table context"")"),"yearn, long, crave")</f>
        <v>yearn, long, crave</v>
      </c>
      <c r="D171" s="5" t="str">
        <f ca="1">IFERROR(__xludf.DUMMYFUNCTION("AI(""Fill an appropriate value for this cell based on the table context"")"),"After spending the entire winter in the city, they were hankering for a warm day at the beach.")</f>
        <v>After spending the entire winter in the city, they were hankering for a warm day at the beach.</v>
      </c>
      <c r="E171" s="5"/>
      <c r="F171" s="5"/>
      <c r="G171" s="5"/>
      <c r="H171" s="5"/>
      <c r="I171" s="5"/>
      <c r="J171" s="5"/>
      <c r="K171" s="5"/>
      <c r="L171" s="5"/>
      <c r="M171" s="5"/>
      <c r="N171" s="5"/>
      <c r="O171" s="5"/>
      <c r="P171" s="5"/>
      <c r="Q171" s="5"/>
      <c r="R171" s="5"/>
      <c r="S171" s="5"/>
      <c r="T171" s="5"/>
      <c r="U171" s="5"/>
      <c r="V171" s="5"/>
      <c r="W171" s="5"/>
      <c r="X171" s="5"/>
      <c r="Y171" s="5"/>
      <c r="Z171" s="5"/>
    </row>
    <row r="172" spans="1:26" ht="12.5" x14ac:dyDescent="0.25">
      <c r="A172" s="5" t="s">
        <v>573</v>
      </c>
      <c r="B172" s="5" t="str">
        <f ca="1">IFERROR(__xludf.DUMMYFUNCTION("AI(""Fill an appropriate value for this cell based on the table context"")"),"weak or lacking in courage; cowardly")</f>
        <v>weak or lacking in courage; cowardly</v>
      </c>
      <c r="C172" s="5" t="str">
        <f ca="1">IFERROR(__xludf.DUMMYFUNCTION("AI(""Fill an appropriate value for this cell based on the table context"")"),"cowardly, spineless, craven")</f>
        <v>cowardly, spineless, craven</v>
      </c>
      <c r="D172" s="5" t="str">
        <f ca="1">IFERROR(__xludf.DUMMYFUNCTION("AI(""Fill an appropriate value for this cell based on the table context"")"),"There is no place for a lily-livered soldier in the army.")</f>
        <v>There is no place for a lily-livered soldier in the army.</v>
      </c>
      <c r="E172" s="5"/>
      <c r="F172" s="5"/>
      <c r="G172" s="5"/>
      <c r="H172" s="5"/>
      <c r="I172" s="5"/>
      <c r="J172" s="5"/>
      <c r="K172" s="5"/>
      <c r="L172" s="5"/>
      <c r="M172" s="5"/>
      <c r="N172" s="5"/>
      <c r="O172" s="5"/>
      <c r="P172" s="5"/>
      <c r="Q172" s="5"/>
      <c r="R172" s="5"/>
      <c r="S172" s="5"/>
      <c r="T172" s="5"/>
      <c r="U172" s="5"/>
      <c r="V172" s="5"/>
      <c r="W172" s="5"/>
      <c r="X172" s="5"/>
      <c r="Y172" s="5"/>
      <c r="Z172" s="5"/>
    </row>
    <row r="173" spans="1:26" ht="12.5" x14ac:dyDescent="0.25">
      <c r="A173" s="5" t="s">
        <v>576</v>
      </c>
      <c r="B173" s="5" t="str">
        <f ca="1">IFERROR(__xludf.DUMMYFUNCTION("AI(""Fill an appropriate value for this cell based on the table context"")"),"the manner in which a person behaves, especially in physical bearing")</f>
        <v>the manner in which a person behaves, especially in physical bearing</v>
      </c>
      <c r="C173" s="5" t="str">
        <f ca="1">IFERROR(__xludf.DUMMYFUNCTION("AI(""Fill an appropriate value for this cell based on the table context"")"),"bearing, demeanor, carriage")</f>
        <v>bearing, demeanor, carriage</v>
      </c>
      <c r="D173" s="5" t="str">
        <f ca="1">IFERROR(__xludf.DUMMYFUNCTION("AI(""Fill an appropriate value for this cell based on the table context"")"),"The new students were instructed in proper dress and deportment.")</f>
        <v>The new students were instructed in proper dress and deportment.</v>
      </c>
      <c r="E173" s="5"/>
      <c r="F173" s="5"/>
      <c r="G173" s="5"/>
      <c r="H173" s="5"/>
      <c r="I173" s="5"/>
      <c r="J173" s="5"/>
      <c r="K173" s="5"/>
      <c r="L173" s="5"/>
      <c r="M173" s="5"/>
      <c r="N173" s="5"/>
      <c r="O173" s="5"/>
      <c r="P173" s="5"/>
      <c r="Q173" s="5"/>
      <c r="R173" s="5"/>
      <c r="S173" s="5"/>
      <c r="T173" s="5"/>
      <c r="U173" s="5"/>
      <c r="V173" s="5"/>
      <c r="W173" s="5"/>
      <c r="X173" s="5"/>
      <c r="Y173" s="5"/>
      <c r="Z173" s="5"/>
    </row>
    <row r="174" spans="1:26" ht="12.5" x14ac:dyDescent="0.25">
      <c r="A174" s="5" t="s">
        <v>579</v>
      </c>
      <c r="B174" s="5" t="str">
        <f ca="1">IFERROR(__xludf.DUMMYFUNCTION("AI(""Fill an appropriate value for this cell based on the table context"")"),"the way in which a person holds their body when standing or moving around")</f>
        <v>the way in which a person holds their body when standing or moving around</v>
      </c>
      <c r="C174" s="5" t="str">
        <f ca="1">IFERROR(__xludf.DUMMYFUNCTION("AI(""Fill an appropriate value for this cell based on the table context"")"),"bearing, demeanor, deportment")</f>
        <v>bearing, demeanor, deportment</v>
      </c>
      <c r="D174" s="5" t="str">
        <f ca="1">IFERROR(__xludf.DUMMYFUNCTION("AI(""Fill an appropriate value for this cell based on the table context"")"),"The new students were instructed in proper dress and carriage.")</f>
        <v>The new students were instructed in proper dress and carriage.</v>
      </c>
      <c r="E174" s="5"/>
      <c r="F174" s="5"/>
      <c r="G174" s="5"/>
      <c r="H174" s="5"/>
      <c r="I174" s="5"/>
      <c r="J174" s="5"/>
      <c r="K174" s="5"/>
      <c r="L174" s="5"/>
      <c r="M174" s="5"/>
      <c r="N174" s="5"/>
      <c r="O174" s="5"/>
      <c r="P174" s="5"/>
      <c r="Q174" s="5"/>
      <c r="R174" s="5"/>
      <c r="S174" s="5"/>
      <c r="T174" s="5"/>
      <c r="U174" s="5"/>
      <c r="V174" s="5"/>
      <c r="W174" s="5"/>
      <c r="X174" s="5"/>
      <c r="Y174" s="5"/>
      <c r="Z174" s="5"/>
    </row>
    <row r="175" spans="1:26" ht="12.5" x14ac:dyDescent="0.25">
      <c r="A175" s="5" t="s">
        <v>581</v>
      </c>
      <c r="B175" s="5" t="str">
        <f ca="1">IFERROR(__xludf.DUMMYFUNCTION("AI(""Fill an appropriate value for this cell based on the table context"")"),"clever and skillful in the way you think or move")</f>
        <v>clever and skillful in the way you think or move</v>
      </c>
      <c r="C175" s="5" t="str">
        <f ca="1">IFERROR(__xludf.DUMMYFUNCTION("AI(""Fill an appropriate value for this cell based on the table context"")"),"deft, dexterous, adept")</f>
        <v>deft, dexterous, adept</v>
      </c>
      <c r="D175" s="5" t="str">
        <f ca="1">IFERROR(__xludf.DUMMYFUNCTION("AI(""Fill an appropriate value for this cell based on the table context"")"),"His adroit handling of the crisis impressed everyone.")</f>
        <v>His adroit handling of the crisis impressed everyone.</v>
      </c>
      <c r="E175" s="5"/>
      <c r="F175" s="5"/>
      <c r="G175" s="5"/>
      <c r="H175" s="5"/>
      <c r="I175" s="5"/>
      <c r="J175" s="5"/>
      <c r="K175" s="5"/>
      <c r="L175" s="5"/>
      <c r="M175" s="5"/>
      <c r="N175" s="5"/>
      <c r="O175" s="5"/>
      <c r="P175" s="5"/>
      <c r="Q175" s="5"/>
      <c r="R175" s="5"/>
      <c r="S175" s="5"/>
      <c r="T175" s="5"/>
      <c r="U175" s="5"/>
      <c r="V175" s="5"/>
      <c r="W175" s="5"/>
      <c r="X175" s="5"/>
      <c r="Y175" s="5"/>
      <c r="Z175" s="5"/>
    </row>
    <row r="176" spans="1:26" ht="12.5" x14ac:dyDescent="0.25">
      <c r="A176" s="5" t="s">
        <v>583</v>
      </c>
      <c r="B176" s="5" t="str">
        <f ca="1">IFERROR(__xludf.DUMMYFUNCTION("AI(""Fill an appropriate value for this cell based on the table context"")"),"complain or find fault in a petty or nagging way")</f>
        <v>complain or find fault in a petty or nagging way</v>
      </c>
      <c r="C176" s="5" t="str">
        <f ca="1">IFERROR(__xludf.DUMMYFUNCTION("AI(""Fill an appropriate value for this cell based on the table context"")"),"quibble, cavil, nitpick")</f>
        <v>quibble, cavil, nitpick</v>
      </c>
      <c r="D176" s="5" t="str">
        <f ca="1">IFERROR(__xludf.DUMMYFUNCTION("AI(""Fill an appropriate value for this cell based on the table context"")"),"Instead of focusing on the main goals of the project, he chose to carp about minor details.")</f>
        <v>Instead of focusing on the main goals of the project, he chose to carp about minor details.</v>
      </c>
      <c r="E176" s="5"/>
      <c r="F176" s="5"/>
      <c r="G176" s="5"/>
      <c r="H176" s="5"/>
      <c r="I176" s="5"/>
      <c r="J176" s="5"/>
      <c r="K176" s="5"/>
      <c r="L176" s="5"/>
      <c r="M176" s="5"/>
      <c r="N176" s="5"/>
      <c r="O176" s="5"/>
      <c r="P176" s="5"/>
      <c r="Q176" s="5"/>
      <c r="R176" s="5"/>
      <c r="S176" s="5"/>
      <c r="T176" s="5"/>
      <c r="U176" s="5"/>
      <c r="V176" s="5"/>
      <c r="W176" s="5"/>
      <c r="X176" s="5"/>
      <c r="Y176" s="5"/>
      <c r="Z176" s="5"/>
    </row>
    <row r="177" spans="1:26" ht="12.5" x14ac:dyDescent="0.25">
      <c r="A177" s="5" t="s">
        <v>586</v>
      </c>
      <c r="B177" s="5" t="str">
        <f ca="1">IFERROR(__xludf.DUMMYFUNCTION("AI(""Fill an appropriate value for this cell based on the table context"")"),"young and inexperienced; immature")</f>
        <v>young and inexperienced; immature</v>
      </c>
      <c r="C177" s="5" t="str">
        <f ca="1">IFERROR(__xludf.DUMMYFUNCTION("AI(""Fill an appropriate value for this cell based on the table context"")"),"inexperienced, immature, naive")</f>
        <v>inexperienced, immature, naive</v>
      </c>
      <c r="D177" s="5" t="str">
        <f ca="1">IFERROR(__xludf.DUMMYFUNCTION("AI(""Fill an appropriate value for this cell based on the table context"")"),"The callow intern needed constant guidance during her first week on the job.")</f>
        <v>The callow intern needed constant guidance during her first week on the job.</v>
      </c>
      <c r="E177" s="5"/>
      <c r="F177" s="5"/>
      <c r="G177" s="5"/>
      <c r="H177" s="5"/>
      <c r="I177" s="5"/>
      <c r="J177" s="5"/>
      <c r="K177" s="5"/>
      <c r="L177" s="5"/>
      <c r="M177" s="5"/>
      <c r="N177" s="5"/>
      <c r="O177" s="5"/>
      <c r="P177" s="5"/>
      <c r="Q177" s="5"/>
      <c r="R177" s="5"/>
      <c r="S177" s="5"/>
      <c r="T177" s="5"/>
      <c r="U177" s="5"/>
      <c r="V177" s="5"/>
      <c r="W177" s="5"/>
      <c r="X177" s="5"/>
      <c r="Y177" s="5"/>
      <c r="Z177" s="5"/>
    </row>
    <row r="178" spans="1:26" ht="12.5" x14ac:dyDescent="0.25">
      <c r="A178" s="5" t="s">
        <v>589</v>
      </c>
      <c r="B178" s="5" t="str">
        <f ca="1">IFERROR(__xludf.DUMMYFUNCTION("AI(""Fill an appropriate value for this cell based on the table context"")"),"make a disease or problem less severe without curing it")</f>
        <v>make a disease or problem less severe without curing it</v>
      </c>
      <c r="C178" s="5" t="str">
        <f ca="1">IFERROR(__xludf.DUMMYFUNCTION("AI(""Fill an appropriate value for this cell based on the table context"")"),"alleviate, mitigate, assuage")</f>
        <v>alleviate, mitigate, assuage</v>
      </c>
      <c r="D178" s="5" t="str">
        <f ca="1">IFERROR(__xludf.DUMMYFUNCTION("AI(""Fill an appropriate value for this cell based on the table context"")"),"The doctor gave her medicine to palliate the pain.")</f>
        <v>The doctor gave her medicine to palliate the pain.</v>
      </c>
      <c r="E178" s="5"/>
      <c r="F178" s="5"/>
      <c r="G178" s="5"/>
      <c r="H178" s="5"/>
      <c r="I178" s="5"/>
      <c r="J178" s="5"/>
      <c r="K178" s="5"/>
      <c r="L178" s="5"/>
      <c r="M178" s="5"/>
      <c r="N178" s="5"/>
      <c r="O178" s="5"/>
      <c r="P178" s="5"/>
      <c r="Q178" s="5"/>
      <c r="R178" s="5"/>
      <c r="S178" s="5"/>
      <c r="T178" s="5"/>
      <c r="U178" s="5"/>
      <c r="V178" s="5"/>
      <c r="W178" s="5"/>
      <c r="X178" s="5"/>
      <c r="Y178" s="5"/>
      <c r="Z178" s="5"/>
    </row>
    <row r="179" spans="1:26" ht="12.5" x14ac:dyDescent="0.25">
      <c r="A179" s="5" t="s">
        <v>592</v>
      </c>
      <c r="B179" s="5" t="str">
        <f ca="1">IFERROR(__xludf.DUMMYFUNCTION("AI(""Fill an appropriate value for this cell based on the table context"")"),"relating to the countryside or country life")</f>
        <v>relating to the countryside or country life</v>
      </c>
      <c r="C179" s="5" t="str">
        <f ca="1">IFERROR(__xludf.DUMMYFUNCTION("AI(""Fill an appropriate value for this cell based on the table context"")"),"rural, pastoral, rustic")</f>
        <v>rural, pastoral, rustic</v>
      </c>
      <c r="D179" s="5" t="str">
        <f ca="1">IFERROR(__xludf.DUMMYFUNCTION("AI(""Fill an appropriate value for this cell based on the table context"")"),"The painting depicts a bucolic scene of cattle grazing in a lush green pasture.")</f>
        <v>The painting depicts a bucolic scene of cattle grazing in a lush green pasture.</v>
      </c>
      <c r="E179" s="5"/>
      <c r="F179" s="5"/>
      <c r="G179" s="5"/>
      <c r="H179" s="5"/>
      <c r="I179" s="5"/>
      <c r="J179" s="5"/>
      <c r="K179" s="5"/>
      <c r="L179" s="5"/>
      <c r="M179" s="5"/>
      <c r="N179" s="5"/>
      <c r="O179" s="5"/>
      <c r="P179" s="5"/>
      <c r="Q179" s="5"/>
      <c r="R179" s="5"/>
      <c r="S179" s="5"/>
      <c r="T179" s="5"/>
      <c r="U179" s="5"/>
      <c r="V179" s="5"/>
      <c r="W179" s="5"/>
      <c r="X179" s="5"/>
      <c r="Y179" s="5"/>
      <c r="Z179" s="5"/>
    </row>
    <row r="180" spans="1:26" ht="12.5" x14ac:dyDescent="0.25">
      <c r="A180" s="5" t="s">
        <v>594</v>
      </c>
      <c r="B180" s="5" t="str">
        <f ca="1">IFERROR(__xludf.DUMMYFUNCTION("AI(""Fill an appropriate value for this cell based on the table context"")"),"relating to the countryside, especially the keeping of sheep or cattle")</f>
        <v>relating to the countryside, especially the keeping of sheep or cattle</v>
      </c>
      <c r="C180" s="5" t="str">
        <f ca="1">IFERROR(__xludf.DUMMYFUNCTION("AI(""Fill an appropriate value for this cell based on the table context"")"),"bucolic, rustic, rural")</f>
        <v>bucolic, rustic, rural</v>
      </c>
      <c r="D180" s="5" t="str">
        <f ca="1">IFERROR(__xludf.DUMMYFUNCTION("AI(""Fill an appropriate value for this cell based on the table context"")"),"The house is situated in a charming pastoral setting.")</f>
        <v>The house is situated in a charming pastoral setting.</v>
      </c>
      <c r="E180" s="5"/>
      <c r="F180" s="5"/>
      <c r="G180" s="5"/>
      <c r="H180" s="5"/>
      <c r="I180" s="5"/>
      <c r="J180" s="5"/>
      <c r="K180" s="5"/>
      <c r="L180" s="5"/>
      <c r="M180" s="5"/>
      <c r="N180" s="5"/>
      <c r="O180" s="5"/>
      <c r="P180" s="5"/>
      <c r="Q180" s="5"/>
      <c r="R180" s="5"/>
      <c r="S180" s="5"/>
      <c r="T180" s="5"/>
      <c r="U180" s="5"/>
      <c r="V180" s="5"/>
      <c r="W180" s="5"/>
      <c r="X180" s="5"/>
      <c r="Y180" s="5"/>
      <c r="Z180" s="5"/>
    </row>
    <row r="181" spans="1:26" ht="12.5" x14ac:dyDescent="0.25">
      <c r="A181" s="5" t="s">
        <v>596</v>
      </c>
      <c r="B181" s="5" t="str">
        <f ca="1">IFERROR(__xludf.DUMMYFUNCTION("AI(""Fill an appropriate value for this cell based on the table context"")"),"extremely happy, peaceful, or picturesque")</f>
        <v>extremely happy, peaceful, or picturesque</v>
      </c>
      <c r="C181" s="5" t="str">
        <f ca="1">IFERROR(__xludf.DUMMYFUNCTION("AI(""Fill an appropriate value for this cell based on the table context"")"),"peaceful, rustic, pastoral")</f>
        <v>peaceful, rustic, pastoral</v>
      </c>
      <c r="D181" s="5" t="str">
        <f ca="1">IFERROR(__xludf.DUMMYFUNCTION("AI(""Fill an appropriate value for this cell based on the table context"")"),"The gently winding trails offer hikers an idyllic setting for a day of rustic, outdoor fun.")</f>
        <v>The gently winding trails offer hikers an idyllic setting for a day of rustic, outdoor fun.</v>
      </c>
      <c r="E181" s="5"/>
      <c r="F181" s="5"/>
      <c r="G181" s="5"/>
      <c r="H181" s="5"/>
      <c r="I181" s="5"/>
      <c r="J181" s="5"/>
      <c r="K181" s="5"/>
      <c r="L181" s="5"/>
      <c r="M181" s="5"/>
      <c r="N181" s="5"/>
      <c r="O181" s="5"/>
      <c r="P181" s="5"/>
      <c r="Q181" s="5"/>
      <c r="R181" s="5"/>
      <c r="S181" s="5"/>
      <c r="T181" s="5"/>
      <c r="U181" s="5"/>
      <c r="V181" s="5"/>
      <c r="W181" s="5"/>
      <c r="X181" s="5"/>
      <c r="Y181" s="5"/>
      <c r="Z181" s="5"/>
    </row>
    <row r="182" spans="1:26" ht="12.5" x14ac:dyDescent="0.25">
      <c r="A182" s="5" t="s">
        <v>599</v>
      </c>
      <c r="B182" s="5" t="str">
        <f ca="1">IFERROR(__xludf.DUMMYFUNCTION("AI(""Fill an appropriate value for this cell based on the table context"")"),"typical of the countryside; simple and rough in appearance")</f>
        <v>typical of the countryside; simple and rough in appearance</v>
      </c>
      <c r="C182" s="5" t="str">
        <f ca="1">IFERROR(__xludf.DUMMYFUNCTION("AI(""Fill an appropriate value for this cell based on the table context"")"),"rural, pastoral, bucolic")</f>
        <v>rural, pastoral, bucolic</v>
      </c>
      <c r="D182" s="5" t="str">
        <f ca="1">IFERROR(__xludf.DUMMYFUNCTION("AI(""Fill an appropriate value for this cell based on the table context"")"),"The restaurant has a rustic charm that reminds me of my grandmother's kitchen.")</f>
        <v>The restaurant has a rustic charm that reminds me of my grandmother's kitchen.</v>
      </c>
      <c r="E182" s="5"/>
      <c r="F182" s="5"/>
      <c r="G182" s="5"/>
      <c r="H182" s="5"/>
      <c r="I182" s="5"/>
      <c r="J182" s="5"/>
      <c r="K182" s="5"/>
      <c r="L182" s="5"/>
      <c r="M182" s="5"/>
      <c r="N182" s="5"/>
      <c r="O182" s="5"/>
      <c r="P182" s="5"/>
      <c r="Q182" s="5"/>
      <c r="R182" s="5"/>
      <c r="S182" s="5"/>
      <c r="T182" s="5"/>
      <c r="U182" s="5"/>
      <c r="V182" s="5"/>
      <c r="W182" s="5"/>
      <c r="X182" s="5"/>
      <c r="Y182" s="5"/>
      <c r="Z182" s="5"/>
    </row>
    <row r="183" spans="1:26" ht="12.5" x14ac:dyDescent="0.25">
      <c r="A183" s="5" t="s">
        <v>602</v>
      </c>
      <c r="B183" s="5" t="str">
        <f ca="1">IFERROR(__xludf.DUMMYFUNCTION("AI(""Fill an appropriate value for this cell based on the table context"")"),"to begin to grow or develop rapidly; flourish")</f>
        <v>to begin to grow or develop rapidly; flourish</v>
      </c>
      <c r="C183" s="5" t="str">
        <f ca="1">IFERROR(__xludf.DUMMYFUNCTION("AI(""Fill an appropriate value for this cell based on the table context"")"),"flourish, thrive, mushroom")</f>
        <v>flourish, thrive, mushroom</v>
      </c>
      <c r="D183" s="5" t="str">
        <f ca="1">IFERROR(__xludf.DUMMYFUNCTION("AI(""Fill an appropriate value for this cell based on the table context"")"),"The town burgeoned into a city.")</f>
        <v>The town burgeoned into a city.</v>
      </c>
      <c r="E183" s="5"/>
      <c r="F183" s="5"/>
      <c r="G183" s="5"/>
      <c r="H183" s="5"/>
      <c r="I183" s="5"/>
      <c r="J183" s="5"/>
      <c r="K183" s="5"/>
      <c r="L183" s="5"/>
      <c r="M183" s="5"/>
      <c r="N183" s="5"/>
      <c r="O183" s="5"/>
      <c r="P183" s="5"/>
      <c r="Q183" s="5"/>
      <c r="R183" s="5"/>
      <c r="S183" s="5"/>
      <c r="T183" s="5"/>
      <c r="U183" s="5"/>
      <c r="V183" s="5"/>
      <c r="W183" s="5"/>
      <c r="X183" s="5"/>
      <c r="Y183" s="5"/>
      <c r="Z183" s="5"/>
    </row>
    <row r="184" spans="1:26" ht="12.5" x14ac:dyDescent="0.25">
      <c r="A184" s="5" t="s">
        <v>605</v>
      </c>
      <c r="B184" s="5" t="str">
        <f ca="1">IFERROR(__xludf.DUMMYFUNCTION("AI(""Fill an appropriate value for this cell based on the table context"")"),"to grow or spread rapidly")</f>
        <v>to grow or spread rapidly</v>
      </c>
      <c r="C184" s="5" t="str">
        <f ca="1">IFERROR(__xludf.DUMMYFUNCTION("AI(""Fill an appropriate value for this cell based on the table context"")"),"burgeon, flourish, thrive")</f>
        <v>burgeon, flourish, thrive</v>
      </c>
      <c r="D184" s="5" t="str">
        <f ca="1">IFERROR(__xludf.DUMMYFUNCTION("AI(""Fill an appropriate value for this cell based on the table context"")"),"The town's population began to mushroom after the new factory opened.")</f>
        <v>The town's population began to mushroom after the new factory opened.</v>
      </c>
      <c r="E184" s="5"/>
      <c r="F184" s="5"/>
      <c r="G184" s="5"/>
      <c r="H184" s="5"/>
      <c r="I184" s="5"/>
      <c r="J184" s="5"/>
      <c r="K184" s="5"/>
      <c r="L184" s="5"/>
      <c r="M184" s="5"/>
      <c r="N184" s="5"/>
      <c r="O184" s="5"/>
      <c r="P184" s="5"/>
      <c r="Q184" s="5"/>
      <c r="R184" s="5"/>
      <c r="S184" s="5"/>
      <c r="T184" s="5"/>
      <c r="U184" s="5"/>
      <c r="V184" s="5"/>
      <c r="W184" s="5"/>
      <c r="X184" s="5"/>
      <c r="Y184" s="5"/>
      <c r="Z184" s="5"/>
    </row>
    <row r="185" spans="1:26" ht="12.5" x14ac:dyDescent="0.25">
      <c r="A185" s="5" t="s">
        <v>607</v>
      </c>
      <c r="B185" s="5" t="str">
        <f ca="1">IFERROR(__xludf.DUMMYFUNCTION("AI(""Fill an appropriate value for this cell based on the table context"")"),"consisting of a mixture of loud unpleasant sounds")</f>
        <v>consisting of a mixture of loud unpleasant sounds</v>
      </c>
      <c r="C185" s="5" t="str">
        <f ca="1">IFERROR(__xludf.DUMMYFUNCTION("AI(""Fill an appropriate value for this cell based on the table context"")"),"discordant, dissonant, harsh")</f>
        <v>discordant, dissonant, harsh</v>
      </c>
      <c r="D185" s="5" t="str">
        <f ca="1">IFERROR(__xludf.DUMMYFUNCTION("AI(""Fill an appropriate value for this cell based on the table context"")"),"The band's first rehearsal was a cacophonous mix of out-of-tune instruments.")</f>
        <v>The band's first rehearsal was a cacophonous mix of out-of-tune instruments.</v>
      </c>
      <c r="E185" s="5"/>
      <c r="F185" s="5"/>
      <c r="G185" s="5"/>
      <c r="H185" s="5"/>
      <c r="I185" s="5"/>
      <c r="J185" s="5"/>
      <c r="K185" s="5"/>
      <c r="L185" s="5"/>
      <c r="M185" s="5"/>
      <c r="N185" s="5"/>
      <c r="O185" s="5"/>
      <c r="P185" s="5"/>
      <c r="Q185" s="5"/>
      <c r="R185" s="5"/>
      <c r="S185" s="5"/>
      <c r="T185" s="5"/>
      <c r="U185" s="5"/>
      <c r="V185" s="5"/>
      <c r="W185" s="5"/>
      <c r="X185" s="5"/>
      <c r="Y185" s="5"/>
      <c r="Z185" s="5"/>
    </row>
    <row r="186" spans="1:26" ht="12.5" x14ac:dyDescent="0.25">
      <c r="A186" s="5" t="s">
        <v>609</v>
      </c>
      <c r="B186" s="5" t="str">
        <f ca="1">IFERROR(__xludf.DUMMYFUNCTION("AI(""Fill an appropriate value for this cell based on the table context"")"),"not in agreement or harmony; harsh or unpleasant in sound")</f>
        <v>not in agreement or harmony; harsh or unpleasant in sound</v>
      </c>
      <c r="C186" s="5" t="str">
        <f ca="1">IFERROR(__xludf.DUMMYFUNCTION("AI(""Fill an appropriate value for this cell based on the table context"")"),"dissonant, cacophonous, harsh")</f>
        <v>dissonant, cacophonous, harsh</v>
      </c>
      <c r="D186" s="5" t="str">
        <f ca="1">IFERROR(__xludf.DUMMYFUNCTION("AI(""Fill an appropriate value for this cell based on the table context"")"),"She has the difficult task of bringing together a number of discordant elements.")</f>
        <v>She has the difficult task of bringing together a number of discordant elements.</v>
      </c>
      <c r="E186" s="5"/>
      <c r="F186" s="5"/>
      <c r="G186" s="5"/>
      <c r="H186" s="5"/>
      <c r="I186" s="5"/>
      <c r="J186" s="5"/>
      <c r="K186" s="5"/>
      <c r="L186" s="5"/>
      <c r="M186" s="5"/>
      <c r="N186" s="5"/>
      <c r="O186" s="5"/>
      <c r="P186" s="5"/>
      <c r="Q186" s="5"/>
      <c r="R186" s="5"/>
      <c r="S186" s="5"/>
      <c r="T186" s="5"/>
      <c r="U186" s="5"/>
      <c r="V186" s="5"/>
      <c r="W186" s="5"/>
      <c r="X186" s="5"/>
      <c r="Y186" s="5"/>
      <c r="Z186" s="5"/>
    </row>
    <row r="187" spans="1:26" ht="12.5" x14ac:dyDescent="0.25">
      <c r="A187" s="5" t="s">
        <v>612</v>
      </c>
      <c r="B187" s="5" t="s">
        <v>613</v>
      </c>
      <c r="C187" s="5" t="str">
        <f ca="1">IFERROR(__xludf.DUMMYFUNCTION("AI(""Fill an appropriate value for this cell based on the table context"")"),"deify, glorify, idolize")</f>
        <v>deify, glorify, idolize</v>
      </c>
      <c r="D187" s="5" t="str">
        <f ca="1">IFERROR(__xludf.DUMMYFUNCTION("AI(""Fill an appropriate value for this cell based on the table context"")"),"After he was shown to have performed a miracle, the priest was canonized.")</f>
        <v>After he was shown to have performed a miracle, the priest was canonized.</v>
      </c>
      <c r="E187" s="5"/>
      <c r="F187" s="5"/>
      <c r="G187" s="5"/>
      <c r="H187" s="5"/>
      <c r="I187" s="5"/>
      <c r="J187" s="5"/>
      <c r="K187" s="5"/>
      <c r="L187" s="5"/>
      <c r="M187" s="5"/>
      <c r="N187" s="5"/>
      <c r="O187" s="5"/>
      <c r="P187" s="5"/>
      <c r="Q187" s="5"/>
      <c r="R187" s="5"/>
      <c r="S187" s="5"/>
      <c r="T187" s="5"/>
      <c r="U187" s="5"/>
      <c r="V187" s="5"/>
      <c r="W187" s="5"/>
      <c r="X187" s="5"/>
      <c r="Y187" s="5"/>
      <c r="Z187" s="5"/>
    </row>
    <row r="188" spans="1:26" ht="12.5" x14ac:dyDescent="0.25">
      <c r="A188" s="5" t="s">
        <v>614</v>
      </c>
      <c r="B188" s="5" t="str">
        <f ca="1">IFERROR(__xludf.DUMMYFUNCTION("AI(""Fill an appropriate value for this cell based on the table context"")"),"declare a dead person to be blessed, usually as the first step towards sainthood")</f>
        <v>declare a dead person to be blessed, usually as the first step towards sainthood</v>
      </c>
      <c r="C188" s="5" t="str">
        <f ca="1">IFERROR(__xludf.DUMMYFUNCTION("AI(""Fill an appropriate value for this cell based on the table context"")"),"sanctify, consecrate, bless")</f>
        <v>sanctify, consecrate, bless</v>
      </c>
      <c r="D188" s="5" t="str">
        <f ca="1">IFERROR(__xludf.DUMMYFUNCTION("AI(""Fill an appropriate value for this cell based on the table context"")"),"On Sunday, the martyr will be beatified by the Vatican.")</f>
        <v>On Sunday, the martyr will be beatified by the Vatican.</v>
      </c>
      <c r="E188" s="5"/>
      <c r="F188" s="5"/>
      <c r="G188" s="5"/>
      <c r="H188" s="5"/>
      <c r="I188" s="5"/>
      <c r="J188" s="5"/>
      <c r="K188" s="5"/>
      <c r="L188" s="5"/>
      <c r="M188" s="5"/>
      <c r="N188" s="5"/>
      <c r="O188" s="5"/>
      <c r="P188" s="5"/>
      <c r="Q188" s="5"/>
      <c r="R188" s="5"/>
      <c r="S188" s="5"/>
      <c r="T188" s="5"/>
      <c r="U188" s="5"/>
      <c r="V188" s="5"/>
      <c r="W188" s="5"/>
      <c r="X188" s="5"/>
      <c r="Y188" s="5"/>
      <c r="Z188" s="5"/>
    </row>
    <row r="189" spans="1:26" ht="12.5" x14ac:dyDescent="0.25">
      <c r="A189" s="5" t="s">
        <v>616</v>
      </c>
      <c r="B189" s="5" t="str">
        <f ca="1">IFERROR(__xludf.DUMMYFUNCTION("AI(""Fill an appropriate value for this cell based on the table context"")"),"feel or show deep respect for someone or something")</f>
        <v>feel or show deep respect for someone or something</v>
      </c>
      <c r="C189" s="5" t="str">
        <f ca="1">IFERROR(__xludf.DUMMYFUNCTION("AI(""Fill an appropriate value for this cell based on the table context"")"),"revere, adore, worship")</f>
        <v>revere, adore, worship</v>
      </c>
      <c r="D189" s="5" t="str">
        <f ca="1">IFERROR(__xludf.DUMMYFUNCTION("AI(""Fill an appropriate value for this cell based on the table context"")"),"Many cultures venerate their ancestors through traditional ceremonies.")</f>
        <v>Many cultures venerate their ancestors through traditional ceremonies.</v>
      </c>
      <c r="E189" s="5"/>
      <c r="F189" s="5"/>
      <c r="G189" s="5"/>
      <c r="H189" s="5"/>
      <c r="I189" s="5"/>
      <c r="J189" s="5"/>
      <c r="K189" s="5"/>
      <c r="L189" s="5"/>
      <c r="M189" s="5"/>
      <c r="N189" s="5"/>
      <c r="O189" s="5"/>
      <c r="P189" s="5"/>
      <c r="Q189" s="5"/>
      <c r="R189" s="5"/>
      <c r="S189" s="5"/>
      <c r="T189" s="5"/>
      <c r="U189" s="5"/>
      <c r="V189" s="5"/>
      <c r="W189" s="5"/>
      <c r="X189" s="5"/>
      <c r="Y189" s="5"/>
      <c r="Z189" s="5"/>
    </row>
    <row r="190" spans="1:26" ht="12.5" x14ac:dyDescent="0.25">
      <c r="A190" s="5" t="s">
        <v>619</v>
      </c>
      <c r="B190" s="5" t="str">
        <f ca="1">IFERROR(__xludf.DUMMYFUNCTION("AI(""Fill an appropriate value for this cell based on the table context"")"),"express strong disapproval or harsh criticism")</f>
        <v>express strong disapproval or harsh criticism</v>
      </c>
      <c r="C190" s="5" t="str">
        <f ca="1">IFERROR(__xludf.DUMMYFUNCTION("AI(""Fill an appropriate value for this cell based on the table context"")"),"condemn, criticize, denounce")</f>
        <v>condemn, criticize, denounce</v>
      </c>
      <c r="D190" s="5" t="str">
        <f ca="1">IFERROR(__xludf.DUMMYFUNCTION("AI(""Fill an appropriate value for this cell based on the table context"")"),"The committee voted to censure the politician for his controversial remarks.")</f>
        <v>The committee voted to censure the politician for his controversial remarks.</v>
      </c>
      <c r="E190" s="5"/>
      <c r="F190" s="5"/>
      <c r="G190" s="5"/>
      <c r="H190" s="5"/>
      <c r="I190" s="5"/>
      <c r="J190" s="5"/>
      <c r="K190" s="5"/>
      <c r="L190" s="5"/>
      <c r="M190" s="5"/>
      <c r="N190" s="5"/>
      <c r="O190" s="5"/>
      <c r="P190" s="5"/>
      <c r="Q190" s="5"/>
      <c r="R190" s="5"/>
      <c r="S190" s="5"/>
      <c r="T190" s="5"/>
      <c r="U190" s="5"/>
      <c r="V190" s="5"/>
      <c r="W190" s="5"/>
      <c r="X190" s="5"/>
      <c r="Y190" s="5"/>
      <c r="Z190" s="5"/>
    </row>
    <row r="191" spans="1:26" ht="12.5" x14ac:dyDescent="0.25">
      <c r="A191" s="5" t="s">
        <v>622</v>
      </c>
      <c r="B191" s="5" t="str">
        <f ca="1">IFERROR(__xludf.DUMMYFUNCTION("AI(""Fill an appropriate value for this cell based on the table context"")"),"clever, dishonest talk or behavior used to deceive people")</f>
        <v>clever, dishonest talk or behavior used to deceive people</v>
      </c>
      <c r="C191" s="5" t="str">
        <f ca="1">IFERROR(__xludf.DUMMYFUNCTION("AI(""Fill an appropriate value for this cell based on the table context"")"),"trickery, deception, subterfuge")</f>
        <v>trickery, deception, subterfuge</v>
      </c>
      <c r="D191" s="5" t="str">
        <f ca="1">IFERROR(__xludf.DUMMYFUNCTION("AI(""Fill an appropriate value for this cell based on the table context"")"),"The investigation revealed political chicanery and corruption at the highest levels.")</f>
        <v>The investigation revealed political chicanery and corruption at the highest levels.</v>
      </c>
      <c r="E191" s="5"/>
      <c r="F191" s="5"/>
      <c r="G191" s="5"/>
      <c r="H191" s="5"/>
      <c r="I191" s="5"/>
      <c r="J191" s="5"/>
      <c r="K191" s="5"/>
      <c r="L191" s="5"/>
      <c r="M191" s="5"/>
      <c r="N191" s="5"/>
      <c r="O191" s="5"/>
      <c r="P191" s="5"/>
      <c r="Q191" s="5"/>
      <c r="R191" s="5"/>
      <c r="S191" s="5"/>
      <c r="T191" s="5"/>
      <c r="U191" s="5"/>
      <c r="V191" s="5"/>
      <c r="W191" s="5"/>
      <c r="X191" s="5"/>
      <c r="Y191" s="5"/>
      <c r="Z191" s="5"/>
    </row>
    <row r="192" spans="1:26" ht="12.5" x14ac:dyDescent="0.25">
      <c r="A192" s="5" t="s">
        <v>625</v>
      </c>
      <c r="B192" s="5" t="str">
        <f ca="1">IFERROR(__xludf.DUMMYFUNCTION("AI(""Fill an appropriate value for this cell based on the table context"")"),"underhanded or deceitful behavior; trickery")</f>
        <v>underhanded or deceitful behavior; trickery</v>
      </c>
      <c r="C192" s="5" t="str">
        <f ca="1">IFERROR(__xludf.DUMMYFUNCTION("AI(""Fill an appropriate value for this cell based on the table context"")"),"trickery, chicanery, duplicity")</f>
        <v>trickery, chicanery, duplicity</v>
      </c>
      <c r="D192" s="5" t="str">
        <f ca="1">IFERROR(__xludf.DUMMYFUNCTION("AI(""Fill an appropriate value for this cell based on the table context"")"),"The investigative journalist uncovered years of financial skulduggery at the charity.")</f>
        <v>The investigative journalist uncovered years of financial skulduggery at the charity.</v>
      </c>
      <c r="E192" s="5"/>
      <c r="F192" s="5"/>
      <c r="G192" s="5"/>
      <c r="H192" s="5"/>
      <c r="I192" s="5"/>
      <c r="J192" s="5"/>
      <c r="K192" s="5"/>
      <c r="L192" s="5"/>
      <c r="M192" s="5"/>
      <c r="N192" s="5"/>
      <c r="O192" s="5"/>
      <c r="P192" s="5"/>
      <c r="Q192" s="5"/>
      <c r="R192" s="5"/>
      <c r="S192" s="5"/>
      <c r="T192" s="5"/>
      <c r="U192" s="5"/>
      <c r="V192" s="5"/>
      <c r="W192" s="5"/>
      <c r="X192" s="5"/>
      <c r="Y192" s="5"/>
      <c r="Z192" s="5"/>
    </row>
    <row r="193" spans="1:26" ht="12.5" x14ac:dyDescent="0.25">
      <c r="A193" s="5" t="s">
        <v>628</v>
      </c>
      <c r="B193" s="5" t="str">
        <f ca="1">IFERROR(__xludf.DUMMYFUNCTION("AI(""Fill an appropriate value for this cell based on the table context"")"),"combine or unite to form a single organization or structure")</f>
        <v>combine or unite to form a single organization or structure</v>
      </c>
      <c r="C193" s="5" t="str">
        <f ca="1">IFERROR(__xludf.DUMMYFUNCTION("AI(""Fill an appropriate value for this cell based on the table context"")"),"combine, merge, fuse")</f>
        <v>combine, merge, fuse</v>
      </c>
      <c r="D193" s="5" t="str">
        <f ca="1">IFERROR(__xludf.DUMMYFUNCTION("AI(""Fill an appropriate value for this cell based on the table context"")"),"The two schools decided to amalgamate into a single institution to optimize their resources.")</f>
        <v>The two schools decided to amalgamate into a single institution to optimize their resources.</v>
      </c>
      <c r="E193" s="5"/>
      <c r="F193" s="5"/>
      <c r="G193" s="5"/>
      <c r="H193" s="5"/>
      <c r="I193" s="5"/>
      <c r="J193" s="5"/>
      <c r="K193" s="5"/>
      <c r="L193" s="5"/>
      <c r="M193" s="5"/>
      <c r="N193" s="5"/>
      <c r="O193" s="5"/>
      <c r="P193" s="5"/>
      <c r="Q193" s="5"/>
      <c r="R193" s="5"/>
      <c r="S193" s="5"/>
      <c r="T193" s="5"/>
      <c r="U193" s="5"/>
      <c r="V193" s="5"/>
      <c r="W193" s="5"/>
      <c r="X193" s="5"/>
      <c r="Y193" s="5"/>
      <c r="Z193" s="5"/>
    </row>
    <row r="194" spans="1:26" ht="12.5" x14ac:dyDescent="0.25">
      <c r="A194" s="5" t="s">
        <v>630</v>
      </c>
      <c r="B194" s="5" t="str">
        <f ca="1">IFERROR(__xludf.DUMMYFUNCTION("AI(""Fill an appropriate value for this cell based on the table context"")"),"clearly expressed, logical, and persuasive")</f>
        <v>clearly expressed, logical, and persuasive</v>
      </c>
      <c r="C194" s="5" t="str">
        <f ca="1">IFERROR(__xludf.DUMMYFUNCTION("AI(""Fill an appropriate value for this cell based on the table context"")"),"convincing, compelling, persuasive")</f>
        <v>convincing, compelling, persuasive</v>
      </c>
      <c r="D194" s="5" t="str">
        <f ca="1">IFERROR(__xludf.DUMMYFUNCTION("AI(""Fill an appropriate value for this cell based on the table context"")"),"Her argument was so cogent that even skeptics found it difficult to disagree.")</f>
        <v>Her argument was so cogent that even skeptics found it difficult to disagree.</v>
      </c>
      <c r="E194" s="5"/>
      <c r="F194" s="5"/>
      <c r="G194" s="5"/>
      <c r="H194" s="5"/>
      <c r="I194" s="5"/>
      <c r="J194" s="5"/>
      <c r="K194" s="5"/>
      <c r="L194" s="5"/>
      <c r="M194" s="5"/>
      <c r="N194" s="5"/>
      <c r="O194" s="5"/>
      <c r="P194" s="5"/>
      <c r="Q194" s="5"/>
      <c r="R194" s="5"/>
      <c r="S194" s="5"/>
      <c r="T194" s="5"/>
      <c r="U194" s="5"/>
      <c r="V194" s="5"/>
      <c r="W194" s="5"/>
      <c r="X194" s="5"/>
      <c r="Y194" s="5"/>
      <c r="Z194" s="5"/>
    </row>
    <row r="195" spans="1:26" ht="12.5" x14ac:dyDescent="0.25">
      <c r="A195" s="5" t="s">
        <v>632</v>
      </c>
      <c r="B195" s="5" t="str">
        <f ca="1">IFERROR(__xludf.DUMMYFUNCTION("AI(""Fill an appropriate value for this cell based on the table context"")"),"a very large or countless number of something")</f>
        <v>a very large or countless number of something</v>
      </c>
      <c r="C195" s="5" t="str">
        <f ca="1">IFERROR(__xludf.DUMMYFUNCTION("AI(""Fill an appropriate value for this cell based on the table context"")"),"multitude, countless, innumerable")</f>
        <v>multitude, countless, innumerable</v>
      </c>
      <c r="D195" s="5" t="str">
        <f ca="1">IFERROR(__xludf.DUMMYFUNCTION("AI(""Fill an appropriate value for this cell based on the table context"")"),"The gently winding trails offer hikers an idyllic setting for a day of outdoor fun, away from the myriad distractions of the city.")</f>
        <v>The gently winding trails offer hikers an idyllic setting for a day of outdoor fun, away from the myriad distractions of the city.</v>
      </c>
      <c r="E195" s="5"/>
      <c r="F195" s="5"/>
      <c r="G195" s="5"/>
      <c r="H195" s="5"/>
      <c r="I195" s="5"/>
      <c r="J195" s="5"/>
      <c r="K195" s="5"/>
      <c r="L195" s="5"/>
      <c r="M195" s="5"/>
      <c r="N195" s="5"/>
      <c r="O195" s="5"/>
      <c r="P195" s="5"/>
      <c r="Q195" s="5"/>
      <c r="R195" s="5"/>
      <c r="S195" s="5"/>
      <c r="T195" s="5"/>
      <c r="U195" s="5"/>
      <c r="V195" s="5"/>
      <c r="W195" s="5"/>
      <c r="X195" s="5"/>
      <c r="Y195" s="5"/>
      <c r="Z195" s="5"/>
    </row>
    <row r="196" spans="1:26" ht="12.5" x14ac:dyDescent="0.25">
      <c r="A196" s="5" t="s">
        <v>635</v>
      </c>
      <c r="B196" s="5" t="str">
        <f ca="1">IFERROR(__xludf.DUMMYFUNCTION("AI(""Fill an appropriate value for this cell based on the table context"")"),"polite submission or respect shown to another")</f>
        <v>polite submission or respect shown to another</v>
      </c>
      <c r="C196" s="5" t="str">
        <f ca="1">IFERROR(__xludf.DUMMYFUNCTION("AI(""Fill an appropriate value for this cell based on the table context"")"),"respect, reverence, homage")</f>
        <v>respect, reverence, homage</v>
      </c>
      <c r="D196" s="5" t="str">
        <f ca="1">IFERROR(__xludf.DUMMYFUNCTION("AI(""Fill an appropriate value for this cell based on the table context"")"),"The children were taught to show proper deference to their elders.")</f>
        <v>The children were taught to show proper deference to their elders.</v>
      </c>
      <c r="E196" s="5"/>
      <c r="F196" s="5"/>
      <c r="G196" s="5"/>
      <c r="H196" s="5"/>
      <c r="I196" s="5"/>
      <c r="J196" s="5"/>
      <c r="K196" s="5"/>
      <c r="L196" s="5"/>
      <c r="M196" s="5"/>
      <c r="N196" s="5"/>
      <c r="O196" s="5"/>
      <c r="P196" s="5"/>
      <c r="Q196" s="5"/>
      <c r="R196" s="5"/>
      <c r="S196" s="5"/>
      <c r="T196" s="5"/>
      <c r="U196" s="5"/>
      <c r="V196" s="5"/>
      <c r="W196" s="5"/>
      <c r="X196" s="5"/>
      <c r="Y196" s="5"/>
      <c r="Z196" s="5"/>
    </row>
    <row r="197" spans="1:26" ht="12.5" x14ac:dyDescent="0.25">
      <c r="A197" s="5" t="s">
        <v>638</v>
      </c>
      <c r="B197" s="5" t="str">
        <f ca="1">IFERROR(__xludf.DUMMYFUNCTION("AI(""Fill an appropriate value for this cell based on the table context"")"),"shy and lacking in self-confidence")</f>
        <v>shy and lacking in self-confidence</v>
      </c>
      <c r="C197" s="5" t="str">
        <f ca="1">IFERROR(__xludf.DUMMYFUNCTION("AI(""Fill an appropriate value for this cell based on the table context"")"),"shy, bashful, timid")</f>
        <v>shy, bashful, timid</v>
      </c>
      <c r="D197" s="5" t="str">
        <f ca="1">IFERROR(__xludf.DUMMYFUNCTION("AI(""Fill an appropriate value for this cell based on the table context"")"),"The new employee was diffident and reserved during the team meetings.")</f>
        <v>The new employee was diffident and reserved during the team meetings.</v>
      </c>
      <c r="E197" s="5"/>
      <c r="F197" s="5"/>
      <c r="G197" s="5"/>
      <c r="H197" s="5"/>
      <c r="I197" s="5"/>
      <c r="J197" s="5"/>
      <c r="K197" s="5"/>
      <c r="L197" s="5"/>
      <c r="M197" s="5"/>
      <c r="N197" s="5"/>
      <c r="O197" s="5"/>
      <c r="P197" s="5"/>
      <c r="Q197" s="5"/>
      <c r="R197" s="5"/>
      <c r="S197" s="5"/>
      <c r="T197" s="5"/>
      <c r="U197" s="5"/>
      <c r="V197" s="5"/>
      <c r="W197" s="5"/>
      <c r="X197" s="5"/>
      <c r="Y197" s="5"/>
      <c r="Z197" s="5"/>
    </row>
    <row r="198" spans="1:26" ht="12.5" x14ac:dyDescent="0.25">
      <c r="A198" s="5" t="s">
        <v>641</v>
      </c>
      <c r="B198" s="5" t="str">
        <f ca="1">IFERROR(__xludf.DUMMYFUNCTION("AI(""Fill an appropriate value for this cell based on the table context"")"),"not wanting to work; lazy")</f>
        <v>not wanting to work; lazy</v>
      </c>
      <c r="C198" s="5" t="str">
        <f ca="1">IFERROR(__xludf.DUMMYFUNCTION("AI(""Fill an appropriate value for this cell based on the table context"")"),"lazy, idle, slothful")</f>
        <v>lazy, idle, slothful</v>
      </c>
      <c r="D198" s="5" t="str">
        <f ca="1">IFERROR(__xludf.DUMMYFUNCTION("AI(""Fill an appropriate value for this cell based on the table context"")"),"The indolent student preferred playing video games to doing his homework.")</f>
        <v>The indolent student preferred playing video games to doing his homework.</v>
      </c>
      <c r="E198" s="5"/>
      <c r="F198" s="5"/>
      <c r="G198" s="5"/>
      <c r="H198" s="5"/>
      <c r="I198" s="5"/>
      <c r="J198" s="5"/>
      <c r="K198" s="5"/>
      <c r="L198" s="5"/>
      <c r="M198" s="5"/>
      <c r="N198" s="5"/>
      <c r="O198" s="5"/>
      <c r="P198" s="5"/>
      <c r="Q198" s="5"/>
      <c r="R198" s="5"/>
      <c r="S198" s="5"/>
      <c r="T198" s="5"/>
      <c r="U198" s="5"/>
      <c r="V198" s="5"/>
      <c r="W198" s="5"/>
      <c r="X198" s="5"/>
      <c r="Y198" s="5"/>
      <c r="Z198" s="5"/>
    </row>
    <row r="199" spans="1:26" ht="12.5" x14ac:dyDescent="0.25">
      <c r="A199" s="5" t="s">
        <v>644</v>
      </c>
      <c r="B199" s="5" t="str">
        <f ca="1">IFERROR(__xludf.DUMMYFUNCTION("AI(""Fill an appropriate value for this cell based on the table context"")"),"use vague or ambiguous language to avoid speaking directly or honestly")</f>
        <v>use vague or ambiguous language to avoid speaking directly or honestly</v>
      </c>
      <c r="C199" s="5" t="str">
        <f ca="1">IFERROR(__xludf.DUMMYFUNCTION("AI(""Fill an appropriate value for this cell based on the table context"")"),"prevaricate, palter, hedge")</f>
        <v>prevaricate, palter, hedge</v>
      </c>
      <c r="D199" s="5" t="str">
        <f ca="1">IFERROR(__xludf.DUMMYFUNCTION("AI(""Fill an appropriate value for this cell based on the table context"")"),"When asked about her tax plan, the candidate didn't equivocate.")</f>
        <v>When asked about her tax plan, the candidate didn't equivocate.</v>
      </c>
      <c r="E199" s="5"/>
      <c r="F199" s="5"/>
      <c r="G199" s="5"/>
      <c r="H199" s="5"/>
      <c r="I199" s="5"/>
      <c r="J199" s="5"/>
      <c r="K199" s="5"/>
      <c r="L199" s="5"/>
      <c r="M199" s="5"/>
      <c r="N199" s="5"/>
      <c r="O199" s="5"/>
      <c r="P199" s="5"/>
      <c r="Q199" s="5"/>
      <c r="R199" s="5"/>
      <c r="S199" s="5"/>
      <c r="T199" s="5"/>
      <c r="U199" s="5"/>
      <c r="V199" s="5"/>
      <c r="W199" s="5"/>
      <c r="X199" s="5"/>
      <c r="Y199" s="5"/>
      <c r="Z199" s="5"/>
    </row>
    <row r="200" spans="1:26" ht="12.5" x14ac:dyDescent="0.25">
      <c r="A200" s="5" t="s">
        <v>645</v>
      </c>
      <c r="B200" s="5" t="str">
        <f ca="1">IFERROR(__xludf.DUMMYFUNCTION("AI(""Fill an appropriate value for this cell based on the table context"")"),"avoid telling the truth or speak evasively")</f>
        <v>avoid telling the truth or speak evasively</v>
      </c>
      <c r="C200" s="5" t="str">
        <f ca="1">IFERROR(__xludf.DUMMYFUNCTION("AI(""Fill an appropriate value for this cell based on the table context"")"),"equivocate, palter, hedge")</f>
        <v>equivocate, palter, hedge</v>
      </c>
      <c r="D200" s="5" t="str">
        <f ca="1">IFERROR(__xludf.DUMMYFUNCTION("AI(""Fill an appropriate value for this cell based on the table context"")"),"The witness continued to prevaricate about her relationship with the defendant, even after being sworn in.")</f>
        <v>The witness continued to prevaricate about her relationship with the defendant, even after being sworn in.</v>
      </c>
      <c r="E200" s="5"/>
      <c r="F200" s="5"/>
      <c r="G200" s="5"/>
      <c r="H200" s="5"/>
      <c r="I200" s="5"/>
      <c r="J200" s="5"/>
      <c r="K200" s="5"/>
      <c r="L200" s="5"/>
      <c r="M200" s="5"/>
      <c r="N200" s="5"/>
      <c r="O200" s="5"/>
      <c r="P200" s="5"/>
      <c r="Q200" s="5"/>
      <c r="R200" s="5"/>
      <c r="S200" s="5"/>
      <c r="T200" s="5"/>
      <c r="U200" s="5"/>
      <c r="V200" s="5"/>
      <c r="W200" s="5"/>
      <c r="X200" s="5"/>
      <c r="Y200" s="5"/>
      <c r="Z200" s="5"/>
    </row>
    <row r="201" spans="1:26" ht="12.5" x14ac:dyDescent="0.25">
      <c r="A201" s="5" t="s">
        <v>648</v>
      </c>
      <c r="B201" s="5" t="str">
        <f ca="1">IFERROR(__xludf.DUMMYFUNCTION("AI(""Fill an appropriate value for this cell based on the table context"")"),"divide or separate into two parts or classifications")</f>
        <v>divide or separate into two parts or classifications</v>
      </c>
      <c r="C201" s="5" t="str">
        <f ca="1">IFERROR(__xludf.DUMMYFUNCTION("AI(""Fill an appropriate value for this cell based on the table context"")"),"divide, split, partition")</f>
        <v>divide, split, partition</v>
      </c>
      <c r="D201" s="5" t="str">
        <f ca="1">IFERROR(__xludf.DUMMYFUNCTION("AI(""Fill an appropriate value for this cell based on the table context"")"),"It is a common mistake to dichotomize the complex issue into simple categories of right and wrong.")</f>
        <v>It is a common mistake to dichotomize the complex issue into simple categories of right and wrong.</v>
      </c>
      <c r="E201" s="5"/>
      <c r="F201" s="5"/>
      <c r="G201" s="5"/>
      <c r="H201" s="5"/>
      <c r="I201" s="5"/>
      <c r="J201" s="5"/>
      <c r="K201" s="5"/>
      <c r="L201" s="5"/>
      <c r="M201" s="5"/>
      <c r="N201" s="5"/>
      <c r="O201" s="5"/>
      <c r="P201" s="5"/>
      <c r="Q201" s="5"/>
      <c r="R201" s="5"/>
      <c r="S201" s="5"/>
      <c r="T201" s="5"/>
      <c r="U201" s="5"/>
      <c r="V201" s="5"/>
      <c r="W201" s="5"/>
      <c r="X201" s="5"/>
      <c r="Y201" s="5"/>
      <c r="Z201" s="5"/>
    </row>
    <row r="202" spans="1:26" ht="12.5" x14ac:dyDescent="0.25">
      <c r="A202" s="5" t="s">
        <v>651</v>
      </c>
      <c r="B202" s="5" t="str">
        <f ca="1">IFERROR(__xludf.DUMMYFUNCTION("AI(""Fill an appropriate value for this cell based on the table context"")"),"not planning carefully for the future, especially by spending money unwisely")</f>
        <v>not planning carefully for the future, especially by spending money unwisely</v>
      </c>
      <c r="C202" s="5" t="str">
        <f ca="1">IFERROR(__xludf.DUMMYFUNCTION("AI(""Fill an appropriate value for this cell based on the table context"")"),"unwise, careless, rash")</f>
        <v>unwise, careless, rash</v>
      </c>
      <c r="D202" s="5" t="str">
        <f ca="1">IFERROR(__xludf.DUMMYFUNCTION("AI(""Fill an appropriate value for this cell based on the table context"")"),"It would be imprudent to invest all your money in one company.")</f>
        <v>It would be imprudent to invest all your money in one company.</v>
      </c>
      <c r="E202" s="5"/>
      <c r="F202" s="5"/>
      <c r="G202" s="5"/>
      <c r="H202" s="5"/>
      <c r="I202" s="5"/>
      <c r="J202" s="5"/>
      <c r="K202" s="5"/>
      <c r="L202" s="5"/>
      <c r="M202" s="5"/>
      <c r="N202" s="5"/>
      <c r="O202" s="5"/>
      <c r="P202" s="5"/>
      <c r="Q202" s="5"/>
      <c r="R202" s="5"/>
      <c r="S202" s="5"/>
      <c r="T202" s="5"/>
      <c r="U202" s="5"/>
      <c r="V202" s="5"/>
      <c r="W202" s="5"/>
      <c r="X202" s="5"/>
      <c r="Y202" s="5"/>
      <c r="Z202" s="5"/>
    </row>
    <row r="203" spans="1:26" ht="12.5" x14ac:dyDescent="0.25">
      <c r="A203" s="5" t="s">
        <v>654</v>
      </c>
      <c r="B203" s="5" t="str">
        <f ca="1">IFERROR(__xludf.DUMMYFUNCTION("AI(""Fill an appropriate value for this cell based on the table context"")"),"someone who tends to waste things, careless with money or time")</f>
        <v>someone who tends to waste things, careless with money or time</v>
      </c>
      <c r="C203" s="5" t="str">
        <f ca="1">IFERROR(__xludf.DUMMYFUNCTION("AI(""Fill an appropriate value for this cell based on the table context"")"),"spendthrift, prodigal, profligate")</f>
        <v>spendthrift, prodigal, profligate</v>
      </c>
      <c r="D203" s="5" t="str">
        <f ca="1">IFERROR(__xludf.DUMMYFUNCTION("AI(""Fill an appropriate value for this cell based on the table context"")"),"The young heir quickly became known as a wastrel, squandering his inheritance within a single year.")</f>
        <v>The young heir quickly became known as a wastrel, squandering his inheritance within a single year.</v>
      </c>
      <c r="E203" s="5"/>
      <c r="F203" s="5"/>
      <c r="G203" s="5"/>
      <c r="H203" s="5"/>
      <c r="I203" s="5"/>
      <c r="J203" s="5"/>
      <c r="K203" s="5"/>
      <c r="L203" s="5"/>
      <c r="M203" s="5"/>
      <c r="N203" s="5"/>
      <c r="O203" s="5"/>
      <c r="P203" s="5"/>
      <c r="Q203" s="5"/>
      <c r="R203" s="5"/>
      <c r="S203" s="5"/>
      <c r="T203" s="5"/>
      <c r="U203" s="5"/>
      <c r="V203" s="5"/>
      <c r="W203" s="5"/>
      <c r="X203" s="5"/>
      <c r="Y203" s="5"/>
      <c r="Z203" s="5"/>
    </row>
    <row r="204" spans="1:26" ht="12.5" x14ac:dyDescent="0.25">
      <c r="A204" s="5" t="s">
        <v>657</v>
      </c>
      <c r="B204" s="5" t="str">
        <f ca="1">IFERROR(__xludf.DUMMYFUNCTION("AI(""Fill an appropriate value for this cell based on the table context"")"),"attack or ridicule publicly")</f>
        <v>attack or ridicule publicly</v>
      </c>
      <c r="C204" s="5" t="str">
        <f ca="1">IFERROR(__xludf.DUMMYFUNCTION("AI(""Fill an appropriate value for this cell based on the table context"")"),"criticize, denounce, ridicule")</f>
        <v>criticize, denounce, ridicule</v>
      </c>
      <c r="D204" s="5" t="str">
        <f ca="1">IFERROR(__xludf.DUMMYFUNCTION("AI(""Fill an appropriate value for this cell based on the table context"")"),"The politician was pilloried by the press for his controversial comments.")</f>
        <v>The politician was pilloried by the press for his controversial comments.</v>
      </c>
      <c r="E204" s="5"/>
      <c r="F204" s="5"/>
      <c r="G204" s="5"/>
      <c r="H204" s="5"/>
      <c r="I204" s="5"/>
      <c r="J204" s="5"/>
      <c r="K204" s="5"/>
      <c r="L204" s="5"/>
      <c r="M204" s="5"/>
      <c r="N204" s="5"/>
      <c r="O204" s="5"/>
      <c r="P204" s="5"/>
      <c r="Q204" s="5"/>
      <c r="R204" s="5"/>
      <c r="S204" s="5"/>
      <c r="T204" s="5"/>
      <c r="U204" s="5"/>
      <c r="V204" s="5"/>
      <c r="W204" s="5"/>
      <c r="X204" s="5"/>
      <c r="Y204" s="5"/>
      <c r="Z204" s="5"/>
    </row>
    <row r="205" spans="1:26" ht="12.5" x14ac:dyDescent="0.25">
      <c r="A205" s="5" t="s">
        <v>658</v>
      </c>
      <c r="B205" s="5" t="str">
        <f ca="1">IFERROR(__xludf.DUMMYFUNCTION("AI(""Fill an appropriate value for this cell based on the table context"")"),"a movement of the body expressing deep respect or submission")</f>
        <v>a movement of the body expressing deep respect or submission</v>
      </c>
      <c r="C205" s="5" t="str">
        <f ca="1">IFERROR(__xludf.DUMMYFUNCTION("AI(""Fill an appropriate value for this cell based on the table context"")"),"homage, respect, deference")</f>
        <v>homage, respect, deference</v>
      </c>
      <c r="D205" s="5" t="str">
        <f ca="1">IFERROR(__xludf.DUMMYFUNCTION("AI(""Fill an appropriate value for this cell based on the table context"")"),"The players paid obeisance to their coach.")</f>
        <v>The players paid obeisance to their coach.</v>
      </c>
      <c r="E205" s="5"/>
      <c r="F205" s="5"/>
      <c r="G205" s="5"/>
      <c r="H205" s="5"/>
      <c r="I205" s="5"/>
      <c r="J205" s="5"/>
      <c r="K205" s="5"/>
      <c r="L205" s="5"/>
      <c r="M205" s="5"/>
      <c r="N205" s="5"/>
      <c r="O205" s="5"/>
      <c r="P205" s="5"/>
      <c r="Q205" s="5"/>
      <c r="R205" s="5"/>
      <c r="S205" s="5"/>
      <c r="T205" s="5"/>
      <c r="U205" s="5"/>
      <c r="V205" s="5"/>
      <c r="W205" s="5"/>
      <c r="X205" s="5"/>
      <c r="Y205" s="5"/>
      <c r="Z205" s="5"/>
    </row>
    <row r="206" spans="1:26" ht="12.5" x14ac:dyDescent="0.25">
      <c r="A206" s="5" t="s">
        <v>661</v>
      </c>
      <c r="B206" s="5" t="str">
        <f ca="1">IFERROR(__xludf.DUMMYFUNCTION("AI(""Fill an appropriate value for this cell based on the table context"")"),"without a clear plan or purpose and showing little effort or interest")</f>
        <v>without a clear plan or purpose and showing little effort or interest</v>
      </c>
      <c r="C206" s="5" t="str">
        <f ca="1">IFERROR(__xludf.DUMMYFUNCTION("AI(""Fill an appropriate value for this cell based on the table context"")"),"random, erratic, haphazard")</f>
        <v>random, erratic, haphazard</v>
      </c>
      <c r="D206" s="5" t="str">
        <f ca="1">IFERROR(__xludf.DUMMYFUNCTION("AI(""Fill an appropriate value for this cell based on the table context"")"),"The students were confused by the teacher's desultory lecture which seemed to have no real focus.")</f>
        <v>The students were confused by the teacher's desultory lecture which seemed to have no real focus.</v>
      </c>
      <c r="E206" s="5"/>
      <c r="F206" s="5"/>
      <c r="G206" s="5"/>
      <c r="H206" s="5"/>
      <c r="I206" s="5"/>
      <c r="J206" s="5"/>
      <c r="K206" s="5"/>
      <c r="L206" s="5"/>
      <c r="M206" s="5"/>
      <c r="N206" s="5"/>
      <c r="O206" s="5"/>
      <c r="P206" s="5"/>
      <c r="Q206" s="5"/>
      <c r="R206" s="5"/>
      <c r="S206" s="5"/>
      <c r="T206" s="5"/>
      <c r="U206" s="5"/>
      <c r="V206" s="5"/>
      <c r="W206" s="5"/>
      <c r="X206" s="5"/>
      <c r="Y206" s="5"/>
      <c r="Z206" s="5"/>
    </row>
    <row r="207" spans="1:26" ht="12.5" x14ac:dyDescent="0.25">
      <c r="A207" s="5" t="s">
        <v>663</v>
      </c>
      <c r="B207" s="5" t="str">
        <f ca="1">IFERROR(__xludf.DUMMYFUNCTION("AI(""Fill an appropriate value for this cell based on the table context"")"),"remove something intentionally; erase or wipe out")</f>
        <v>remove something intentionally; erase or wipe out</v>
      </c>
      <c r="C207" s="5" t="str">
        <f ca="1">IFERROR(__xludf.DUMMYFUNCTION("AI(""Fill an appropriate value for this cell based on the table context"")"),"erasing, obliterating, expunging")</f>
        <v>erasing, obliterating, expunging</v>
      </c>
      <c r="D207" s="5" t="str">
        <f ca="1">IFERROR(__xludf.DUMMYFUNCTION("AI(""Fill an appropriate value for this cell based on the table context"")"),"Her self-effacing manner made her reluctant to accept any praise for her achievements.")</f>
        <v>Her self-effacing manner made her reluctant to accept any praise for her achievements.</v>
      </c>
      <c r="E207" s="5"/>
      <c r="F207" s="5"/>
      <c r="G207" s="5"/>
      <c r="H207" s="5"/>
      <c r="I207" s="5"/>
      <c r="J207" s="5"/>
      <c r="K207" s="5"/>
      <c r="L207" s="5"/>
      <c r="M207" s="5"/>
      <c r="N207" s="5"/>
      <c r="O207" s="5"/>
      <c r="P207" s="5"/>
      <c r="Q207" s="5"/>
      <c r="R207" s="5"/>
      <c r="S207" s="5"/>
      <c r="T207" s="5"/>
      <c r="U207" s="5"/>
      <c r="V207" s="5"/>
      <c r="W207" s="5"/>
      <c r="X207" s="5"/>
      <c r="Y207" s="5"/>
      <c r="Z207" s="5"/>
    </row>
    <row r="208" spans="1:26" ht="12.5" x14ac:dyDescent="0.25">
      <c r="A208" s="5" t="s">
        <v>664</v>
      </c>
      <c r="B208" s="5" t="str">
        <f ca="1">IFERROR(__xludf.DUMMYFUNCTION("AI(""Fill an appropriate value for this cell based on the table context"")"),"approval, agreement, or praise")</f>
        <v>approval, agreement, or praise</v>
      </c>
      <c r="C208" s="5" t="str">
        <f ca="1">IFERROR(__xludf.DUMMYFUNCTION("AI(""Fill an appropriate value for this cell based on the table context"")"),"approval, praise, commendation")</f>
        <v>approval, praise, commendation</v>
      </c>
      <c r="D208" s="5" t="str">
        <f ca="1">IFERROR(__xludf.DUMMYFUNCTION("AI(""Fill an appropriate value for this cell based on the table context"")"),"The company has even received the approbation of its former critics.")</f>
        <v>The company has even received the approbation of its former critics.</v>
      </c>
      <c r="E208" s="5"/>
      <c r="F208" s="5"/>
      <c r="G208" s="5"/>
      <c r="H208" s="5"/>
      <c r="I208" s="5"/>
      <c r="J208" s="5"/>
      <c r="K208" s="5"/>
      <c r="L208" s="5"/>
      <c r="M208" s="5"/>
      <c r="N208" s="5"/>
      <c r="O208" s="5"/>
      <c r="P208" s="5"/>
      <c r="Q208" s="5"/>
      <c r="R208" s="5"/>
      <c r="S208" s="5"/>
      <c r="T208" s="5"/>
      <c r="U208" s="5"/>
      <c r="V208" s="5"/>
      <c r="W208" s="5"/>
      <c r="X208" s="5"/>
      <c r="Y208" s="5"/>
      <c r="Z208" s="5"/>
    </row>
    <row r="209" spans="1:26" ht="12.5" x14ac:dyDescent="0.25">
      <c r="A209" s="5" t="s">
        <v>665</v>
      </c>
      <c r="B209" s="5" t="str">
        <f ca="1">IFERROR(__xludf.DUMMYFUNCTION("AI(""Fill an appropriate value for this cell based on the table context"")"),"make someone feel weak and without energy")</f>
        <v>make someone feel weak and without energy</v>
      </c>
      <c r="C209" s="5" t="str">
        <f ca="1">IFERROR(__xludf.DUMMYFUNCTION("AI(""Fill an appropriate value for this cell based on the table context"")"),"weaken, exhaust, enfeeble")</f>
        <v>weaken, exhaust, enfeeble</v>
      </c>
      <c r="D209" s="5" t="str">
        <f ca="1">IFERROR(__xludf.DUMMYFUNCTION("AI(""Fill an appropriate value for this cell based on the table context"")"),"The hot sun enervated her to the point of collapse.")</f>
        <v>The hot sun enervated her to the point of collapse.</v>
      </c>
      <c r="E209" s="5"/>
      <c r="F209" s="5"/>
      <c r="G209" s="5"/>
      <c r="H209" s="5"/>
      <c r="I209" s="5"/>
      <c r="J209" s="5"/>
      <c r="K209" s="5"/>
      <c r="L209" s="5"/>
      <c r="M209" s="5"/>
      <c r="N209" s="5"/>
      <c r="O209" s="5"/>
      <c r="P209" s="5"/>
      <c r="Q209" s="5"/>
      <c r="R209" s="5"/>
      <c r="S209" s="5"/>
      <c r="T209" s="5"/>
      <c r="U209" s="5"/>
      <c r="V209" s="5"/>
      <c r="W209" s="5"/>
      <c r="X209" s="5"/>
      <c r="Y209" s="5"/>
      <c r="Z209" s="5"/>
    </row>
    <row r="210" spans="1:26" ht="12.5" x14ac:dyDescent="0.25">
      <c r="A210" s="5" t="s">
        <v>666</v>
      </c>
      <c r="B210" s="5" t="str">
        <f ca="1">IFERROR(__xludf.DUMMYFUNCTION("AI(""Fill an appropriate value for this cell based on the table context"")"),"lasting for only a short time")</f>
        <v>lasting for only a short time</v>
      </c>
      <c r="C210" s="5" t="str">
        <f ca="1">IFERROR(__xludf.DUMMYFUNCTION("AI(""Fill an appropriate value for this cell based on the table context"")"),"transient, fleeting, short-lived")</f>
        <v>transient, fleeting, short-lived</v>
      </c>
      <c r="D210" s="5" t="str">
        <f ca="1">IFERROR(__xludf.DUMMYFUNCTION("AI(""Fill an appropriate value for this cell based on the table context"")"),"The beauty of cherry blossoms is ephemeral, lasting only for a few weeks.")</f>
        <v>The beauty of cherry blossoms is ephemeral, lasting only for a few weeks.</v>
      </c>
      <c r="E210" s="5"/>
      <c r="F210" s="5"/>
      <c r="G210" s="5"/>
      <c r="H210" s="5"/>
      <c r="I210" s="5"/>
      <c r="J210" s="5"/>
      <c r="K210" s="5"/>
      <c r="L210" s="5"/>
      <c r="M210" s="5"/>
      <c r="N210" s="5"/>
      <c r="O210" s="5"/>
      <c r="P210" s="5"/>
      <c r="Q210" s="5"/>
      <c r="R210" s="5"/>
      <c r="S210" s="5"/>
      <c r="T210" s="5"/>
      <c r="U210" s="5"/>
      <c r="V210" s="5"/>
      <c r="W210" s="5"/>
      <c r="X210" s="5"/>
      <c r="Y210" s="5"/>
      <c r="Z210" s="5"/>
    </row>
    <row r="211" spans="1:26" ht="12.5" x14ac:dyDescent="0.25">
      <c r="A211" s="5" t="s">
        <v>667</v>
      </c>
      <c r="B211" s="5" t="str">
        <f ca="1">IFERROR(__xludf.DUMMYFUNCTION("AI(""Fill an appropriate value for this cell based on the table context"")"),"designed to cause fires; tending to stir up conflict or anger")</f>
        <v>designed to cause fires; tending to stir up conflict or anger</v>
      </c>
      <c r="C211" s="5" t="str">
        <f ca="1">IFERROR(__xludf.DUMMYFUNCTION("AI(""Fill an appropriate value for this cell based on the table context"")"),"inflammatory, provocative, seditious")</f>
        <v>inflammatory, provocative, seditious</v>
      </c>
      <c r="D211" s="5" t="str">
        <f ca="1">IFERROR(__xludf.DUMMYFUNCTION("AI(""Fill an appropriate value for this cell based on the table context"")"),"The politician gave an incendiary speech at last night's rally.")</f>
        <v>The politician gave an incendiary speech at last night's rally.</v>
      </c>
      <c r="E211" s="5"/>
      <c r="F211" s="5"/>
      <c r="G211" s="5"/>
      <c r="H211" s="5"/>
      <c r="I211" s="5"/>
      <c r="J211" s="5"/>
      <c r="K211" s="5"/>
      <c r="L211" s="5"/>
      <c r="M211" s="5"/>
      <c r="N211" s="5"/>
      <c r="O211" s="5"/>
      <c r="P211" s="5"/>
      <c r="Q211" s="5"/>
      <c r="R211" s="5"/>
      <c r="S211" s="5"/>
      <c r="T211" s="5"/>
      <c r="U211" s="5"/>
      <c r="V211" s="5"/>
      <c r="W211" s="5"/>
      <c r="X211" s="5"/>
      <c r="Y211" s="5"/>
      <c r="Z211" s="5"/>
    </row>
    <row r="212" spans="1:26" ht="12.5" x14ac:dyDescent="0.25">
      <c r="A212" s="5" t="s">
        <v>668</v>
      </c>
      <c r="B212" s="5" t="str">
        <f ca="1">IFERROR(__xludf.DUMMYFUNCTION("AI(""Fill an appropriate value for this cell based on the table context"")"),"harmful, hostile, or opposed to something")</f>
        <v>harmful, hostile, or opposed to something</v>
      </c>
      <c r="C212" s="5" t="str">
        <f ca="1">IFERROR(__xludf.DUMMYFUNCTION("AI(""Fill an appropriate value for this cell based on the table context"")"),"hostile, adverse, antagonistic")</f>
        <v>hostile, adverse, antagonistic</v>
      </c>
      <c r="D212" s="5" t="str">
        <f ca="1">IFERROR(__xludf.DUMMYFUNCTION("AI(""Fill an appropriate value for this cell based on the table context"")"),"These policies are inimical to the interests of society.")</f>
        <v>These policies are inimical to the interests of society.</v>
      </c>
      <c r="E212" s="5"/>
      <c r="F212" s="5"/>
      <c r="G212" s="5"/>
      <c r="H212" s="5"/>
      <c r="I212" s="5"/>
      <c r="J212" s="5"/>
      <c r="K212" s="5"/>
      <c r="L212" s="5"/>
      <c r="M212" s="5"/>
      <c r="N212" s="5"/>
      <c r="O212" s="5"/>
      <c r="P212" s="5"/>
      <c r="Q212" s="5"/>
      <c r="R212" s="5"/>
      <c r="S212" s="5"/>
      <c r="T212" s="5"/>
      <c r="U212" s="5"/>
      <c r="V212" s="5"/>
      <c r="W212" s="5"/>
      <c r="X212" s="5"/>
      <c r="Y212" s="5"/>
      <c r="Z212" s="5"/>
    </row>
    <row r="213" spans="1:26" ht="12.5" x14ac:dyDescent="0.25">
      <c r="A213" s="5" t="s">
        <v>669</v>
      </c>
      <c r="B213" s="5" t="s">
        <v>670</v>
      </c>
      <c r="C213" s="5" t="s">
        <v>671</v>
      </c>
      <c r="D213" s="5" t="str">
        <f ca="1">IFERROR(__xludf.DUMMYFUNCTION("AI(""Fill an appropriate value for this cell based on the table context"")"),"She intimated that she might resign from her position if conditions did not improve.")</f>
        <v>She intimated that she might resign from her position if conditions did not improve.</v>
      </c>
      <c r="E213" s="5"/>
      <c r="F213" s="5"/>
      <c r="G213" s="5"/>
      <c r="H213" s="5"/>
      <c r="I213" s="5"/>
      <c r="J213" s="5"/>
      <c r="K213" s="5"/>
      <c r="L213" s="5"/>
      <c r="M213" s="5"/>
      <c r="N213" s="5"/>
      <c r="O213" s="5"/>
      <c r="P213" s="5"/>
      <c r="Q213" s="5"/>
      <c r="R213" s="5"/>
      <c r="S213" s="5"/>
      <c r="T213" s="5"/>
      <c r="U213" s="5"/>
      <c r="V213" s="5"/>
      <c r="W213" s="5"/>
      <c r="X213" s="5"/>
      <c r="Y213" s="5"/>
      <c r="Z213" s="5"/>
    </row>
    <row r="214" spans="1:26" ht="12.5" x14ac:dyDescent="0.25">
      <c r="A214" s="5" t="s">
        <v>672</v>
      </c>
      <c r="B214" s="5" t="str">
        <f ca="1">IFERROR(__xludf.DUMMYFUNCTION("AI(""Fill an appropriate value for this cell based on the table context"")"),"serving as a typical example or model of something")</f>
        <v>serving as a typical example or model of something</v>
      </c>
      <c r="C214" s="5" t="str">
        <f ca="1">IFERROR(__xludf.DUMMYFUNCTION("AI(""Fill an appropriate value for this cell based on the table context"")"),"archetypal, exemplary, classic")</f>
        <v>archetypal, exemplary, classic</v>
      </c>
      <c r="D214" s="5" t="str">
        <f ca="1">IFERROR(__xludf.DUMMYFUNCTION("AI(""Fill an appropriate value for this cell based on the table context"")"),"His career is often seen as a paradigmatic example of the self-made entrepreneur.")</f>
        <v>His career is often seen as a paradigmatic example of the self-made entrepreneur.</v>
      </c>
      <c r="E214" s="5"/>
      <c r="F214" s="5"/>
      <c r="G214" s="5"/>
      <c r="H214" s="5"/>
      <c r="I214" s="5"/>
      <c r="J214" s="5"/>
      <c r="K214" s="5"/>
      <c r="L214" s="5"/>
      <c r="M214" s="5"/>
      <c r="N214" s="5"/>
      <c r="O214" s="5"/>
      <c r="P214" s="5"/>
      <c r="Q214" s="5"/>
      <c r="R214" s="5"/>
      <c r="S214" s="5"/>
      <c r="T214" s="5"/>
      <c r="U214" s="5"/>
      <c r="V214" s="5"/>
      <c r="W214" s="5"/>
      <c r="X214" s="5"/>
      <c r="Y214" s="5"/>
      <c r="Z214" s="5"/>
    </row>
    <row r="215" spans="1:26" ht="12.5" x14ac:dyDescent="0.25">
      <c r="A215" s="5" t="s">
        <v>673</v>
      </c>
      <c r="B215" s="5" t="str">
        <f ca="1">IFERROR(__xludf.DUMMYFUNCTION("AI(""Fill an appropriate value for this cell based on the table context"")"),"overly concerned with minor details or rules")</f>
        <v>overly concerned with minor details or rules</v>
      </c>
      <c r="C215" s="5" t="str">
        <f ca="1">IFERROR(__xludf.DUMMYFUNCTION("AI(""Fill an appropriate value for this cell based on the table context"")"),"bookish, academic, didactic")</f>
        <v>bookish, academic, didactic</v>
      </c>
      <c r="D215" s="5" t="str">
        <f ca="1">IFERROR(__xludf.DUMMYFUNCTION("AI(""Fill an appropriate value for this cell based on the table context"")"),"The professor's pedantic style of grading frustrated students.")</f>
        <v>The professor's pedantic style of grading frustrated students.</v>
      </c>
      <c r="E215" s="5"/>
      <c r="F215" s="5"/>
      <c r="G215" s="5"/>
      <c r="H215" s="5"/>
      <c r="I215" s="5"/>
      <c r="J215" s="5"/>
      <c r="K215" s="5"/>
      <c r="L215" s="5"/>
      <c r="M215" s="5"/>
      <c r="N215" s="5"/>
      <c r="O215" s="5"/>
      <c r="P215" s="5"/>
      <c r="Q215" s="5"/>
      <c r="R215" s="5"/>
      <c r="S215" s="5"/>
      <c r="T215" s="5"/>
      <c r="U215" s="5"/>
      <c r="V215" s="5"/>
      <c r="W215" s="5"/>
      <c r="X215" s="5"/>
      <c r="Y215" s="5"/>
      <c r="Z215" s="5"/>
    </row>
    <row r="216" spans="1:26" ht="12.5" x14ac:dyDescent="0.25">
      <c r="A216" s="5" t="s">
        <v>674</v>
      </c>
      <c r="B216" s="5" t="str">
        <f ca="1">IFERROR(__xludf.DUMMYFUNCTION("AI(""Fill an appropriate value for this cell based on the table context"")"),"calm and peaceful")</f>
        <v>calm and peaceful</v>
      </c>
      <c r="C216" s="5" t="str">
        <f ca="1">IFERROR(__xludf.DUMMYFUNCTION("AI(""Fill an appropriate value for this cell based on the table context"")"),"calm, peaceful, serene, tranquil")</f>
        <v>calm, peaceful, serene, tranquil</v>
      </c>
      <c r="D216" s="5" t="str">
        <f ca="1">IFERROR(__xludf.DUMMYFUNCTION("AI(""Fill an appropriate value for this cell based on the table context"")"),"The placid lake reflected the clear blue sky perfectly.")</f>
        <v>The placid lake reflected the clear blue sky perfectly.</v>
      </c>
      <c r="E216" s="5"/>
      <c r="F216" s="5"/>
      <c r="G216" s="5"/>
      <c r="H216" s="5"/>
      <c r="I216" s="5"/>
      <c r="J216" s="5"/>
      <c r="K216" s="5"/>
      <c r="L216" s="5"/>
      <c r="M216" s="5"/>
      <c r="N216" s="5"/>
      <c r="O216" s="5"/>
      <c r="P216" s="5"/>
      <c r="Q216" s="5"/>
      <c r="R216" s="5"/>
      <c r="S216" s="5"/>
      <c r="T216" s="5"/>
      <c r="U216" s="5"/>
      <c r="V216" s="5"/>
      <c r="W216" s="5"/>
      <c r="X216" s="5"/>
      <c r="Y216" s="5"/>
      <c r="Z216" s="5"/>
    </row>
    <row r="217" spans="1:26" ht="25" x14ac:dyDescent="0.25">
      <c r="A217" s="5" t="s">
        <v>675</v>
      </c>
      <c r="B217" s="5" t="str">
        <f ca="1">IFERROR(__xludf.DUMMYFUNCTION("AI(""Fill an appropriate value for this cell based on the table context"")"),"strongly attacking or defending a particular opinion")</f>
        <v>strongly attacking or defending a particular opinion</v>
      </c>
      <c r="C217" s="5" t="str">
        <f ca="1">IFERROR(__xludf.DUMMYFUNCTION("AI(""Fill an appropriate value for this cell based on the table context"")"),"controversial, contentious, argumentative")</f>
        <v>controversial, contentious, argumentative</v>
      </c>
      <c r="D217" s="5" t="str">
        <f ca="1">IFERROR(__xludf.DUMMYFUNCTION("AI(""Fill an appropriate value for this cell based on the table context"")"),"To keep the peace, avoid discussing politics at Thanksgiving, which usually deteriorates into a polemical argument.")</f>
        <v>To keep the peace, avoid discussing politics at Thanksgiving, which usually deteriorates into a polemical argument.</v>
      </c>
      <c r="E217" s="5"/>
      <c r="F217" s="5"/>
      <c r="G217" s="5"/>
      <c r="H217" s="5"/>
      <c r="I217" s="5"/>
      <c r="J217" s="5"/>
      <c r="K217" s="5"/>
      <c r="L217" s="5"/>
      <c r="M217" s="5"/>
      <c r="N217" s="5"/>
      <c r="O217" s="5"/>
      <c r="P217" s="5"/>
      <c r="Q217" s="5"/>
      <c r="R217" s="5"/>
      <c r="S217" s="5"/>
      <c r="T217" s="5"/>
      <c r="U217" s="5"/>
      <c r="V217" s="5"/>
      <c r="W217" s="5"/>
      <c r="X217" s="5"/>
      <c r="Y217" s="5"/>
      <c r="Z217" s="5"/>
    </row>
    <row r="218" spans="1:26" ht="25" x14ac:dyDescent="0.25">
      <c r="A218" s="5" t="s">
        <v>676</v>
      </c>
      <c r="B218" s="5" t="s">
        <v>677</v>
      </c>
      <c r="C218" s="5" t="str">
        <f ca="1">IFERROR(__xludf.DUMMYFUNCTION("AI(""Fill an appropriate value for this cell based on the table context"")"),"hasty, rash, impetuous")</f>
        <v>hasty, rash, impetuous</v>
      </c>
      <c r="D218" s="5" t="str">
        <f ca="1">IFERROR(__xludf.DUMMYFUNCTION("AI(""Fill an appropriate value for this cell based on the table context"")"),"The manager's sudden resignation precipitated a leadership crisis within the company.")</f>
        <v>The manager's sudden resignation precipitated a leadership crisis within the company.</v>
      </c>
      <c r="E218" s="5"/>
      <c r="F218" s="5"/>
      <c r="G218" s="5"/>
      <c r="H218" s="5"/>
      <c r="I218" s="5"/>
      <c r="J218" s="5"/>
      <c r="K218" s="5"/>
      <c r="L218" s="5"/>
      <c r="M218" s="5"/>
      <c r="N218" s="5"/>
      <c r="O218" s="5"/>
      <c r="P218" s="5"/>
      <c r="Q218" s="5"/>
      <c r="R218" s="5"/>
      <c r="S218" s="5"/>
      <c r="T218" s="5"/>
      <c r="U218" s="5"/>
      <c r="V218" s="5"/>
      <c r="W218" s="5"/>
      <c r="X218" s="5"/>
      <c r="Y218" s="5"/>
      <c r="Z218" s="5"/>
    </row>
    <row r="219" spans="1:26" ht="12.5" x14ac:dyDescent="0.25">
      <c r="A219" s="5" t="s">
        <v>678</v>
      </c>
      <c r="B219" s="5" t="str">
        <f ca="1">IFERROR(__xludf.DUMMYFUNCTION("AI(""Fill an appropriate value for this cell based on the table context"")"),"great intellectual depth and understanding")</f>
        <v>great intellectual depth and understanding</v>
      </c>
      <c r="C219" s="5" t="str">
        <f ca="1">IFERROR(__xludf.DUMMYFUNCTION("AI(""Fill an appropriate value for this cell based on the table context"")"),"depth, wisdom, insight")</f>
        <v>depth, wisdom, insight</v>
      </c>
      <c r="D219" s="5" t="str">
        <f ca="1">IFERROR(__xludf.DUMMYFUNCTION("AI(""Fill an appropriate value for this cell based on the table context"")"),"Her books are a mixture of playfulness and profundity.")</f>
        <v>Her books are a mixture of playfulness and profundity.</v>
      </c>
      <c r="E219" s="5"/>
      <c r="F219" s="5"/>
      <c r="G219" s="5"/>
      <c r="H219" s="5"/>
      <c r="I219" s="5"/>
      <c r="J219" s="5"/>
      <c r="K219" s="5"/>
      <c r="L219" s="5"/>
      <c r="M219" s="5"/>
      <c r="N219" s="5"/>
      <c r="O219" s="5"/>
      <c r="P219" s="5"/>
      <c r="Q219" s="5"/>
      <c r="R219" s="5"/>
      <c r="S219" s="5"/>
      <c r="T219" s="5"/>
      <c r="U219" s="5"/>
      <c r="V219" s="5"/>
      <c r="W219" s="5"/>
      <c r="X219" s="5"/>
      <c r="Y219" s="5"/>
      <c r="Z219" s="5"/>
    </row>
    <row r="220" spans="1:26" ht="25" x14ac:dyDescent="0.25">
      <c r="A220" s="5" t="s">
        <v>679</v>
      </c>
      <c r="B220" s="5" t="str">
        <f ca="1">IFERROR(__xludf.DUMMYFUNCTION("AI(""Fill an appropriate value for this cell based on the table context"")"),"foretelling or predicting the future, especially the likely course of a disease or illness")</f>
        <v>foretelling or predicting the future, especially the likely course of a disease or illness</v>
      </c>
      <c r="C220" s="5" t="str">
        <f ca="1">IFERROR(__xludf.DUMMYFUNCTION("AI(""Fill an appropriate value for this cell based on the table context"")"),"predictive, prophetic, omen, portent, presage, augury")</f>
        <v>predictive, prophetic, omen, portent, presage, augury</v>
      </c>
      <c r="D220" s="5" t="str">
        <f ca="1">IFERROR(__xludf.DUMMYFUNCTION("AI(""Fill an appropriate value for this cell based on the table context"")"),"The doctor provided prognostic information for the terminal patient to help them understand the likely course of the illness.")</f>
        <v>The doctor provided prognostic information for the terminal patient to help them understand the likely course of the illness.</v>
      </c>
      <c r="E220" s="5"/>
      <c r="F220" s="5"/>
      <c r="G220" s="5"/>
      <c r="H220" s="5"/>
      <c r="I220" s="5"/>
      <c r="J220" s="5"/>
      <c r="K220" s="5"/>
      <c r="L220" s="5"/>
      <c r="M220" s="5"/>
      <c r="N220" s="5"/>
      <c r="O220" s="5"/>
      <c r="P220" s="5"/>
      <c r="Q220" s="5"/>
      <c r="R220" s="5"/>
      <c r="S220" s="5"/>
      <c r="T220" s="5"/>
      <c r="U220" s="5"/>
      <c r="V220" s="5"/>
      <c r="W220" s="5"/>
      <c r="X220" s="5"/>
      <c r="Y220" s="5"/>
      <c r="Z220" s="5"/>
    </row>
    <row r="221" spans="1:26" ht="25" x14ac:dyDescent="0.25">
      <c r="A221" s="5" t="s">
        <v>680</v>
      </c>
      <c r="B221" s="5" t="str">
        <f ca="1">IFERROR(__xludf.DUMMYFUNCTION("AI(""Fill an appropriate value for this cell based on the table context"")"),"a sign or warning that something, especially something momentous or calamitous, is likely to happen")</f>
        <v>a sign or warning that something, especially something momentous or calamitous, is likely to happen</v>
      </c>
      <c r="C221" s="5" t="str">
        <f ca="1">IFERROR(__xludf.DUMMYFUNCTION("AI(""Fill an appropriate value for this cell based on the table context"")"),"omen, augury, presage")</f>
        <v>omen, augury, presage</v>
      </c>
      <c r="D221" s="5" t="str">
        <f ca="1">IFERROR(__xludf.DUMMYFUNCTION("AI(""Fill an appropriate value for this cell based on the table context"")"),"The sudden drop in temperature was a dark portent of the approaching winter storm.")</f>
        <v>The sudden drop in temperature was a dark portent of the approaching winter storm.</v>
      </c>
      <c r="E221" s="5"/>
      <c r="F221" s="5"/>
      <c r="G221" s="5"/>
      <c r="H221" s="5"/>
      <c r="I221" s="5"/>
      <c r="J221" s="5"/>
      <c r="K221" s="5"/>
      <c r="L221" s="5"/>
      <c r="M221" s="5"/>
      <c r="N221" s="5"/>
      <c r="O221" s="5"/>
      <c r="P221" s="5"/>
      <c r="Q221" s="5"/>
      <c r="R221" s="5"/>
      <c r="S221" s="5"/>
      <c r="T221" s="5"/>
      <c r="U221" s="5"/>
      <c r="V221" s="5"/>
      <c r="W221" s="5"/>
      <c r="X221" s="5"/>
      <c r="Y221" s="5"/>
      <c r="Z221" s="5"/>
    </row>
    <row r="222" spans="1:26" ht="12.5" x14ac:dyDescent="0.25">
      <c r="A222" s="5" t="s">
        <v>681</v>
      </c>
      <c r="B222" s="5" t="str">
        <f ca="1">IFERROR(__xludf.DUMMYFUNCTION("AI(""Fill an appropriate value for this cell based on the table context"")"),"a sign of what will happen in the future; an omen")</f>
        <v>a sign of what will happen in the future; an omen</v>
      </c>
      <c r="C222" s="5" t="str">
        <f ca="1">IFERROR(__xludf.DUMMYFUNCTION("AI(""Fill an appropriate value for this cell based on the table context"")"),"omen, portent, presage")</f>
        <v>omen, portent, presage</v>
      </c>
      <c r="D222" s="5" t="str">
        <f ca="1">IFERROR(__xludf.DUMMYFUNCTION("AI(""Fill an appropriate value for this cell based on the table context"")"),"The ancient romans looked to the flight of birds as an augury of the upcoming battle's outcome.")</f>
        <v>The ancient romans looked to the flight of birds as an augury of the upcoming battle's outcome.</v>
      </c>
      <c r="E222" s="5"/>
      <c r="F222" s="5"/>
      <c r="G222" s="5"/>
      <c r="H222" s="5"/>
      <c r="I222" s="5"/>
      <c r="J222" s="5"/>
      <c r="K222" s="5"/>
      <c r="L222" s="5"/>
      <c r="M222" s="5"/>
      <c r="N222" s="5"/>
      <c r="O222" s="5"/>
      <c r="P222" s="5"/>
      <c r="Q222" s="5"/>
      <c r="R222" s="5"/>
      <c r="S222" s="5"/>
      <c r="T222" s="5"/>
      <c r="U222" s="5"/>
      <c r="V222" s="5"/>
      <c r="W222" s="5"/>
      <c r="X222" s="5"/>
      <c r="Y222" s="5"/>
      <c r="Z222" s="5"/>
    </row>
    <row r="223" spans="1:26" ht="12.5" x14ac:dyDescent="0.25">
      <c r="A223" s="5" t="s">
        <v>682</v>
      </c>
      <c r="B223" s="5" t="str">
        <f ca="1">IFERROR(__xludf.DUMMYFUNCTION("AI(""Fill an appropriate value for this cell based on the table context"")"),"having or showing good judgment or sense")</f>
        <v>having or showing good judgment or sense</v>
      </c>
      <c r="C223" s="5" t="str">
        <f ca="1">IFERROR(__xludf.DUMMYFUNCTION("AI(""Fill an appropriate value for this cell based on the table context"")"),"prudent, wise, sensible")</f>
        <v>prudent, wise, sensible</v>
      </c>
      <c r="D223" s="5" t="str">
        <f ca="1">IFERROR(__xludf.DUMMYFUNCTION("AI(""Fill an appropriate value for this cell based on the table context"")"),"The judge made a judicious ruling based on the evidence presented.")</f>
        <v>The judge made a judicious ruling based on the evidence presented.</v>
      </c>
      <c r="E223" s="5"/>
      <c r="F223" s="5"/>
      <c r="G223" s="5"/>
      <c r="H223" s="5"/>
      <c r="I223" s="5"/>
      <c r="J223" s="5"/>
      <c r="K223" s="5"/>
      <c r="L223" s="5"/>
      <c r="M223" s="5"/>
      <c r="N223" s="5"/>
      <c r="O223" s="5"/>
      <c r="P223" s="5"/>
      <c r="Q223" s="5"/>
      <c r="R223" s="5"/>
      <c r="S223" s="5"/>
      <c r="T223" s="5"/>
      <c r="U223" s="5"/>
      <c r="V223" s="5"/>
      <c r="W223" s="5"/>
      <c r="X223" s="5"/>
      <c r="Y223" s="5"/>
      <c r="Z223" s="5"/>
    </row>
    <row r="224" spans="1:26" ht="25" x14ac:dyDescent="0.25">
      <c r="A224" s="5" t="s">
        <v>683</v>
      </c>
      <c r="B224" s="5" t="str">
        <f ca="1">IFERROR(__xludf.DUMMYFUNCTION("AI(""Fill an appropriate value for this cell based on the table context"")"),"very careful to behave correctly or to give attention to details")</f>
        <v>very careful to behave correctly or to give attention to details</v>
      </c>
      <c r="C224" s="5" t="str">
        <f ca="1">IFERROR(__xludf.DUMMYFUNCTION("AI(""Fill an appropriate value for this cell based on the table context"")"),"meticulous, conscientious, scrupulous")</f>
        <v>meticulous, conscientious, scrupulous</v>
      </c>
      <c r="D224" s="5" t="str">
        <f ca="1">IFERROR(__xludf.DUMMYFUNCTION("AI(""Fill an appropriate value for this cell based on the table context"")"),"The accountant was punctilious about keeping accurate records of every transaction.")</f>
        <v>The accountant was punctilious about keeping accurate records of every transaction.</v>
      </c>
      <c r="E224" s="5" t="s">
        <v>684</v>
      </c>
      <c r="F224" s="5"/>
      <c r="G224" s="5"/>
      <c r="H224" s="5"/>
      <c r="I224" s="5"/>
      <c r="J224" s="5"/>
      <c r="K224" s="5"/>
      <c r="L224" s="5"/>
      <c r="M224" s="5"/>
      <c r="N224" s="5"/>
      <c r="O224" s="5"/>
      <c r="P224" s="5"/>
      <c r="Q224" s="5"/>
      <c r="R224" s="5"/>
      <c r="S224" s="5"/>
      <c r="T224" s="5"/>
      <c r="U224" s="5"/>
      <c r="V224" s="5"/>
      <c r="W224" s="5"/>
      <c r="X224" s="5"/>
      <c r="Y224" s="5"/>
      <c r="Z224" s="5"/>
    </row>
    <row r="225" spans="1:26" ht="12.5" x14ac:dyDescent="0.25">
      <c r="A225" s="5" t="s">
        <v>685</v>
      </c>
      <c r="B225" s="5" t="str">
        <f ca="1">IFERROR(__xludf.DUMMYFUNCTION("AI(""Fill an appropriate value for this cell based on the table context"")"),"extremely careful to do what is right or moral; thorough and attentive to details")</f>
        <v>extremely careful to do what is right or moral; thorough and attentive to details</v>
      </c>
      <c r="C225" s="5" t="str">
        <f ca="1">IFERROR(__xludf.DUMMYFUNCTION("AI(""Fill an appropriate value for this cell based on the table context"")"),"careful, conscientious, diligent")</f>
        <v>careful, conscientious, diligent</v>
      </c>
      <c r="D225" s="5" t="str">
        <f ca="1">IFERROR(__xludf.DUMMYFUNCTION("AI(""Fill an appropriate value for this cell based on the table context"")"),"The accountant maintained scrupulous records of all the company's financial transactions.")</f>
        <v>The accountant maintained scrupulous records of all the company's financial transactions.</v>
      </c>
      <c r="E225" s="5"/>
      <c r="F225" s="5"/>
      <c r="G225" s="5"/>
      <c r="H225" s="5"/>
      <c r="I225" s="5"/>
      <c r="J225" s="5"/>
      <c r="K225" s="5"/>
      <c r="L225" s="5"/>
      <c r="M225" s="5"/>
      <c r="N225" s="5"/>
      <c r="O225" s="5"/>
      <c r="P225" s="5"/>
      <c r="Q225" s="5"/>
      <c r="R225" s="5"/>
      <c r="S225" s="5"/>
      <c r="T225" s="5"/>
      <c r="U225" s="5"/>
      <c r="V225" s="5"/>
      <c r="W225" s="5"/>
      <c r="X225" s="5"/>
      <c r="Y225" s="5"/>
      <c r="Z225" s="5"/>
    </row>
    <row r="226" spans="1:26" ht="12.5" x14ac:dyDescent="0.25">
      <c r="A226" s="5" t="s">
        <v>686</v>
      </c>
      <c r="B226" s="5" t="str">
        <f ca="1">IFERROR(__xludf.DUMMYFUNCTION("AI(""Fill an appropriate value for this cell based on the table context"")"),"full of or suggesting repose; calm; quiet")</f>
        <v>full of or suggesting repose; calm; quiet</v>
      </c>
      <c r="C226" s="5" t="str">
        <f ca="1">IFERROR(__xludf.DUMMYFUNCTION("AI(""Fill an appropriate value for this cell based on the table context"")"),"restful, tranquil, peaceful")</f>
        <v>restful, tranquil, peaceful</v>
      </c>
      <c r="D226" s="5" t="str">
        <f ca="1">IFERROR(__xludf.DUMMYFUNCTION("AI(""Fill an appropriate value for this cell based on the table context"")"),"The serene garden provided a reposeful environment for reading and reflection.")</f>
        <v>The serene garden provided a reposeful environment for reading and reflection.</v>
      </c>
      <c r="E226" s="5"/>
      <c r="F226" s="5"/>
      <c r="G226" s="5"/>
      <c r="H226" s="5"/>
      <c r="I226" s="5"/>
      <c r="J226" s="5"/>
      <c r="K226" s="5"/>
      <c r="L226" s="5"/>
      <c r="M226" s="5"/>
      <c r="N226" s="5"/>
      <c r="O226" s="5"/>
      <c r="P226" s="5"/>
      <c r="Q226" s="5"/>
      <c r="R226" s="5"/>
      <c r="S226" s="5"/>
      <c r="T226" s="5"/>
      <c r="U226" s="5"/>
      <c r="V226" s="5"/>
      <c r="W226" s="5"/>
      <c r="X226" s="5"/>
      <c r="Y226" s="5"/>
      <c r="Z226" s="5"/>
    </row>
    <row r="227" spans="1:26" ht="12.5" x14ac:dyDescent="0.25">
      <c r="A227" s="5" t="s">
        <v>687</v>
      </c>
      <c r="B227" s="5" t="str">
        <f ca="1">IFERROR(__xludf.DUMMYFUNCTION("AI(""Fill an appropriate value for this cell based on the table context"")"),"a state of resting, sleep, or calm")</f>
        <v>a state of resting, sleep, or calm</v>
      </c>
      <c r="C227" s="5" t="str">
        <f ca="1">IFERROR(__xludf.DUMMYFUNCTION("AI(""Fill an appropriate value for this cell based on the table context"")"),"rest, peace, calm")</f>
        <v>rest, peace, calm</v>
      </c>
      <c r="D227" s="5" t="str">
        <f ca="1">IFERROR(__xludf.DUMMYFUNCTION("AI(""Fill an appropriate value for this cell based on the table context"")"),"She reposed on the sofa to rest after a long day of work.")</f>
        <v>She reposed on the sofa to rest after a long day of work.</v>
      </c>
      <c r="E227" s="5"/>
      <c r="F227" s="5"/>
      <c r="G227" s="5"/>
      <c r="H227" s="5"/>
      <c r="I227" s="5"/>
      <c r="J227" s="5"/>
      <c r="K227" s="5"/>
      <c r="L227" s="5"/>
      <c r="M227" s="5"/>
      <c r="N227" s="5"/>
      <c r="O227" s="5"/>
      <c r="P227" s="5"/>
      <c r="Q227" s="5"/>
      <c r="R227" s="5"/>
      <c r="S227" s="5"/>
      <c r="T227" s="5"/>
      <c r="U227" s="5"/>
      <c r="V227" s="5"/>
      <c r="W227" s="5"/>
      <c r="X227" s="5"/>
      <c r="Y227" s="5"/>
      <c r="Z227" s="5"/>
    </row>
    <row r="228" spans="1:26" ht="12.5" x14ac:dyDescent="0.25">
      <c r="A228" s="5" t="s">
        <v>688</v>
      </c>
      <c r="B228" s="5" t="str">
        <f ca="1">IFERROR(__xludf.DUMMYFUNCTION("AI(""Fill an appropriate value for this cell based on the table context"")"),"be uncertain what to do, or to change often between two opinions")</f>
        <v>be uncertain what to do, or to change often between two opinions</v>
      </c>
      <c r="C228" s="5" t="str">
        <f ca="1">IFERROR(__xludf.DUMMYFUNCTION("AI(""Fill an appropriate value for this cell based on the table context"")"),"waver, hesitate, dither")</f>
        <v>waver, hesitate, dither</v>
      </c>
      <c r="D228" s="5" t="str">
        <f ca="1">IFERROR(__xludf.DUMMYFUNCTION("AI(""Fill an appropriate value for this cell based on the table context"")"),"The politician began to vacillate between the two positions as the election drew closer.")</f>
        <v>The politician began to vacillate between the two positions as the election drew closer.</v>
      </c>
      <c r="E228" s="5"/>
      <c r="F228" s="5"/>
      <c r="G228" s="5"/>
      <c r="H228" s="5"/>
      <c r="I228" s="5"/>
      <c r="J228" s="5"/>
      <c r="K228" s="5"/>
      <c r="L228" s="5"/>
      <c r="M228" s="5"/>
      <c r="N228" s="5"/>
      <c r="O228" s="5"/>
      <c r="P228" s="5"/>
      <c r="Q228" s="5"/>
      <c r="R228" s="5"/>
      <c r="S228" s="5"/>
      <c r="T228" s="5"/>
      <c r="U228" s="5"/>
      <c r="V228" s="5"/>
      <c r="W228" s="5"/>
      <c r="X228" s="5"/>
      <c r="Y228" s="5"/>
      <c r="Z228" s="5"/>
    </row>
    <row r="229" spans="1:26" ht="12.5" x14ac:dyDescent="0.25">
      <c r="A229" s="5" t="s">
        <v>689</v>
      </c>
      <c r="B229" s="5" t="str">
        <f ca="1">IFERROR(__xludf.DUMMYFUNCTION("AI(""Fill an appropriate value for this cell based on the table context"")"),"the ability to make good judgments and decisions")</f>
        <v>the ability to make good judgments and decisions</v>
      </c>
      <c r="C229" s="5" t="str">
        <f ca="1">IFERROR(__xludf.DUMMYFUNCTION("AI(""Fill an appropriate value for this cell based on the table context"")"),"wisdom, discernment, acumen")</f>
        <v>wisdom, discernment, acumen</v>
      </c>
      <c r="D229" s="5" t="str">
        <f ca="1">IFERROR(__xludf.DUMMYFUNCTION("AI(""Fill an appropriate value for this cell based on the table context"")"),"The old man's sagacity made him a respected advisor.")</f>
        <v>The old man's sagacity made him a respected advisor.</v>
      </c>
      <c r="E229" s="5"/>
      <c r="F229" s="5"/>
      <c r="G229" s="5"/>
      <c r="H229" s="5"/>
      <c r="I229" s="5"/>
      <c r="J229" s="5"/>
      <c r="K229" s="5"/>
      <c r="L229" s="5"/>
      <c r="M229" s="5"/>
      <c r="N229" s="5"/>
      <c r="O229" s="5"/>
      <c r="P229" s="5"/>
      <c r="Q229" s="5"/>
      <c r="R229" s="5"/>
      <c r="S229" s="5"/>
      <c r="T229" s="5"/>
      <c r="U229" s="5"/>
      <c r="V229" s="5"/>
      <c r="W229" s="5"/>
      <c r="X229" s="5"/>
      <c r="Y229" s="5"/>
      <c r="Z229" s="5"/>
    </row>
    <row r="230" spans="1:26" ht="12.5" x14ac:dyDescent="0.25">
      <c r="A230" s="5" t="s">
        <v>690</v>
      </c>
      <c r="B230" s="5" t="str">
        <f ca="1">IFERROR(__xludf.DUMMYFUNCTION("AI(""Fill an appropriate value for this cell based on the table context"")"),"the ability to hear, see, or think accurately and clearly")</f>
        <v>the ability to hear, see, or think accurately and clearly</v>
      </c>
      <c r="C230" s="5" t="str">
        <f ca="1">IFERROR(__xludf.DUMMYFUNCTION("AI(""Fill an appropriate value for this cell based on the table context"")"),"acuteness, sharpness, keenness")</f>
        <v>acuteness, sharpness, keenness</v>
      </c>
      <c r="D230" s="5" t="str">
        <f ca="1">IFERROR(__xludf.DUMMYFUNCTION("AI(""Fill an appropriate value for this cell based on the table context"")"),"The detective's sharp mental acuity allowed him to solve the complex mystery ahead of schedule.")</f>
        <v>The detective's sharp mental acuity allowed him to solve the complex mystery ahead of schedule.</v>
      </c>
      <c r="E230" s="5"/>
      <c r="F230" s="5"/>
      <c r="G230" s="5"/>
      <c r="H230" s="5"/>
      <c r="I230" s="5"/>
      <c r="J230" s="5"/>
      <c r="K230" s="5"/>
      <c r="L230" s="5"/>
      <c r="M230" s="5"/>
      <c r="N230" s="5"/>
      <c r="O230" s="5"/>
      <c r="P230" s="5"/>
      <c r="Q230" s="5"/>
      <c r="R230" s="5"/>
      <c r="S230" s="5"/>
      <c r="T230" s="5"/>
      <c r="U230" s="5"/>
      <c r="V230" s="5"/>
      <c r="W230" s="5"/>
      <c r="X230" s="5"/>
      <c r="Y230" s="5"/>
      <c r="Z230" s="5"/>
    </row>
    <row r="231" spans="1:26" ht="12.5" x14ac:dyDescent="0.25">
      <c r="A231" s="5" t="s">
        <v>691</v>
      </c>
      <c r="B231" s="5" t="str">
        <f ca="1">IFERROR(__xludf.DUMMYFUNCTION("AI(""Fill an appropriate value for this cell based on the table context"")"),"arrogantly domineering or overbearing")</f>
        <v>arrogantly domineering or overbearing</v>
      </c>
      <c r="C231" s="5" t="str">
        <f ca="1">IFERROR(__xludf.DUMMYFUNCTION("AI(""Fill an appropriate value for this cell based on the table context"")"),"domineering, dictatorial, overbearing")</f>
        <v>domineering, dictatorial, overbearing</v>
      </c>
      <c r="D231" s="5" t="str">
        <f ca="1">IFERROR(__xludf.DUMMYFUNCTION("AI(""Fill an appropriate value for this cell based on the table context"")"),"The imperious manager demanded complete obedience from his staff and refused to listen to any suggestions.")</f>
        <v>The imperious manager demanded complete obedience from his staff and refused to listen to any suggestions.</v>
      </c>
      <c r="E231" s="5"/>
      <c r="F231" s="5"/>
      <c r="G231" s="5"/>
      <c r="H231" s="5"/>
      <c r="I231" s="5"/>
      <c r="J231" s="5"/>
      <c r="K231" s="5"/>
      <c r="L231" s="5"/>
      <c r="M231" s="5"/>
      <c r="N231" s="5"/>
      <c r="O231" s="5"/>
      <c r="P231" s="5"/>
      <c r="Q231" s="5"/>
      <c r="R231" s="5"/>
      <c r="S231" s="5"/>
      <c r="T231" s="5"/>
      <c r="U231" s="5"/>
      <c r="V231" s="5"/>
      <c r="W231" s="5"/>
      <c r="X231" s="5"/>
      <c r="Y231" s="5"/>
      <c r="Z231" s="5"/>
    </row>
    <row r="232" spans="1:26" ht="12.5" x14ac:dyDescent="0.25">
      <c r="A232" s="5" t="s">
        <v>692</v>
      </c>
      <c r="B232" s="5" t="str">
        <f ca="1">IFERROR(__xludf.DUMMYFUNCTION("AI(""Fill an appropriate value for this cell based on the table context"")"),"excessively proud of oneself; vain")</f>
        <v>excessively proud of oneself; vain</v>
      </c>
      <c r="C232" s="5" t="str">
        <f ca="1">IFERROR(__xludf.DUMMYFUNCTION("AI(""Fill an appropriate value for this cell based on the table context"")"),"vain, arrogant, narcissistic")</f>
        <v>vain, arrogant, narcissistic</v>
      </c>
      <c r="D232" s="5" t="str">
        <f ca="1">IFERROR(__xludf.DUMMYFUNCTION("AI(""Fill an appropriate value for this cell based on the table context"")"),"She sounded conceited when she kept praising her own achievements.")</f>
        <v>She sounded conceited when she kept praising her own achievements.</v>
      </c>
      <c r="E232" s="5"/>
      <c r="F232" s="5"/>
      <c r="G232" s="5"/>
      <c r="H232" s="5"/>
      <c r="I232" s="5"/>
      <c r="J232" s="5"/>
      <c r="K232" s="5"/>
      <c r="L232" s="5"/>
      <c r="M232" s="5"/>
      <c r="N232" s="5"/>
      <c r="O232" s="5"/>
      <c r="P232" s="5"/>
      <c r="Q232" s="5"/>
      <c r="R232" s="5"/>
      <c r="S232" s="5"/>
      <c r="T232" s="5"/>
      <c r="U232" s="5"/>
      <c r="V232" s="5"/>
      <c r="W232" s="5"/>
      <c r="X232" s="5"/>
      <c r="Y232" s="5"/>
      <c r="Z232" s="5"/>
    </row>
    <row r="233" spans="1:26" ht="12.5" x14ac:dyDescent="0.25">
      <c r="A233" s="5" t="s">
        <v>693</v>
      </c>
      <c r="B233" s="5" t="str">
        <f ca="1">IFERROR(__xludf.DUMMYFUNCTION("AI(""Fill an appropriate value for this cell based on the table context"")"),"not friendly or willing to take part in things")</f>
        <v>not friendly or willing to take part in things</v>
      </c>
      <c r="C233" s="5" t="str">
        <f ca="1">IFERROR(__xludf.DUMMYFUNCTION("AI(""Fill an appropriate value for this cell based on the table context"")"),"distant, detached, reserved")</f>
        <v>distant, detached, reserved</v>
      </c>
      <c r="D233" s="5" t="str">
        <f ca="1">IFERROR(__xludf.DUMMYFUNCTION("AI(""Fill an appropriate value for this cell based on the table context"")"),"The new kid was really not so aloof as we thought him at first, just painfully shy.")</f>
        <v>The new kid was really not so aloof as we thought him at first, just painfully shy.</v>
      </c>
      <c r="E233" s="5"/>
      <c r="F233" s="5"/>
      <c r="G233" s="5"/>
      <c r="H233" s="5"/>
      <c r="I233" s="5"/>
      <c r="J233" s="5"/>
      <c r="K233" s="5"/>
      <c r="L233" s="5"/>
      <c r="M233" s="5"/>
      <c r="N233" s="5"/>
      <c r="O233" s="5"/>
      <c r="P233" s="5"/>
      <c r="Q233" s="5"/>
      <c r="R233" s="5"/>
      <c r="S233" s="5"/>
      <c r="T233" s="5"/>
      <c r="U233" s="5"/>
      <c r="V233" s="5"/>
      <c r="W233" s="5"/>
      <c r="X233" s="5"/>
      <c r="Y233" s="5"/>
      <c r="Z233" s="5"/>
    </row>
    <row r="234" spans="1:26" ht="12.5" x14ac:dyDescent="0.25">
      <c r="A234" s="5" t="s">
        <v>694</v>
      </c>
      <c r="B234" s="5" t="str">
        <f ca="1">IFERROR(__xludf.DUMMYFUNCTION("AI(""Fill an appropriate value for this cell based on the table context"")"),"a loud, resonant, and repeating metallic noise")</f>
        <v>a loud, resonant, and repeating metallic noise</v>
      </c>
      <c r="C234" s="5" t="str">
        <f ca="1">IFERROR(__xludf.DUMMYFUNCTION("AI(""Fill an appropriate value for this cell based on the table context"")"),"clang, clank, clash")</f>
        <v>clang, clank, clash</v>
      </c>
      <c r="D234" s="5" t="str">
        <f ca="1">IFERROR(__xludf.DUMMYFUNCTION("AI(""Fill an appropriate value for this cell based on the table context"")"),"The angry wife wanted her sleeping husband to hear the clangor of pots and pans in the kitchen.")</f>
        <v>The angry wife wanted her sleeping husband to hear the clangor of pots and pans in the kitchen.</v>
      </c>
      <c r="E234" s="5"/>
      <c r="F234" s="5"/>
      <c r="G234" s="5"/>
      <c r="H234" s="5"/>
      <c r="I234" s="5"/>
      <c r="J234" s="5"/>
      <c r="K234" s="5"/>
      <c r="L234" s="5"/>
      <c r="M234" s="5"/>
      <c r="N234" s="5"/>
      <c r="O234" s="5"/>
      <c r="P234" s="5"/>
      <c r="Q234" s="5"/>
      <c r="R234" s="5"/>
      <c r="S234" s="5"/>
      <c r="T234" s="5"/>
      <c r="U234" s="5"/>
      <c r="V234" s="5"/>
      <c r="W234" s="5"/>
      <c r="X234" s="5"/>
      <c r="Y234" s="5"/>
      <c r="Z234" s="5"/>
    </row>
    <row r="235" spans="1:26" ht="12.5" x14ac:dyDescent="0.25">
      <c r="A235" s="5" t="s">
        <v>695</v>
      </c>
      <c r="B235" s="5" t="str">
        <f ca="1">IFERROR(__xludf.DUMMYFUNCTION("AI(""Fill an appropriate value for this cell based on the table context"")"),"obvious, apparent, or easily recognizable")</f>
        <v>obvious, apparent, or easily recognizable</v>
      </c>
      <c r="C235" s="5" t="str">
        <f ca="1">IFERROR(__xludf.DUMMYFUNCTION("AI(""Fill an appropriate value for this cell based on the table context"")"),"obvious, apparent, clear")</f>
        <v>obvious, apparent, clear</v>
      </c>
      <c r="D235" s="5" t="str">
        <f ca="1">IFERROR(__xludf.DUMMYFUNCTION("AI(""Fill an appropriate value for this cell based on the table context"")"),"He felt the notion of beginner's luck was patent nonsense.")</f>
        <v>He felt the notion of beginner's luck was patent nonsense.</v>
      </c>
      <c r="E235" s="5"/>
      <c r="F235" s="5"/>
      <c r="G235" s="5"/>
      <c r="H235" s="5"/>
      <c r="I235" s="5"/>
      <c r="J235" s="5"/>
      <c r="K235" s="5"/>
      <c r="L235" s="5"/>
      <c r="M235" s="5"/>
      <c r="N235" s="5"/>
      <c r="O235" s="5"/>
      <c r="P235" s="5"/>
      <c r="Q235" s="5"/>
      <c r="R235" s="5"/>
      <c r="S235" s="5"/>
      <c r="T235" s="5"/>
      <c r="U235" s="5"/>
      <c r="V235" s="5"/>
      <c r="W235" s="5"/>
      <c r="X235" s="5"/>
      <c r="Y235" s="5"/>
      <c r="Z235" s="5"/>
    </row>
    <row r="236" spans="1:26" ht="12.5" x14ac:dyDescent="0.25">
      <c r="A236" s="5" t="s">
        <v>696</v>
      </c>
      <c r="B236" s="5" t="str">
        <f ca="1">IFERROR(__xludf.DUMMYFUNCTION("AI(""Fill an appropriate value for this cell based on the table context"")"),"treating serious issues with deliberately inappropriate humor or being flippant")</f>
        <v>treating serious issues with deliberately inappropriate humor or being flippant</v>
      </c>
      <c r="C236" s="5" t="str">
        <f ca="1">IFERROR(__xludf.DUMMYFUNCTION("AI(""Fill an appropriate value for this cell based on the table context"")"),"humorous, jocular, flippant")</f>
        <v>humorous, jocular, flippant</v>
      </c>
      <c r="D236" s="5" t="str">
        <f ca="1">IFERROR(__xludf.DUMMYFUNCTION("AI(""Fill an appropriate value for this cell based on the table context"")"),"Throughout the meeting, Noah kept making facetious comments.")</f>
        <v>Throughout the meeting, Noah kept making facetious comments.</v>
      </c>
      <c r="E236" s="5"/>
      <c r="F236" s="5"/>
      <c r="G236" s="5"/>
      <c r="H236" s="5"/>
      <c r="I236" s="5"/>
      <c r="J236" s="5"/>
      <c r="K236" s="5"/>
      <c r="L236" s="5"/>
      <c r="M236" s="5"/>
      <c r="N236" s="5"/>
      <c r="O236" s="5"/>
      <c r="P236" s="5"/>
      <c r="Q236" s="5"/>
      <c r="R236" s="5"/>
      <c r="S236" s="5"/>
      <c r="T236" s="5"/>
      <c r="U236" s="5"/>
      <c r="V236" s="5"/>
      <c r="W236" s="5"/>
      <c r="X236" s="5"/>
      <c r="Y236" s="5"/>
      <c r="Z236" s="5"/>
    </row>
    <row r="237" spans="1:26" ht="12.5" x14ac:dyDescent="0.25">
      <c r="A237" s="5" t="s">
        <v>697</v>
      </c>
      <c r="B237" s="5" t="str">
        <f ca="1">IFERROR(__xludf.DUMMYFUNCTION("AI(""Fill an appropriate value for this cell based on the table context"")"),"funny or intended to make someone laugh")</f>
        <v>funny or intended to make someone laugh</v>
      </c>
      <c r="C237" s="5" t="str">
        <f ca="1">IFERROR(__xludf.DUMMYFUNCTION("AI(""Fill an appropriate value for this cell based on the table context"")"),"facetious, humorous, jocose")</f>
        <v>facetious, humorous, jocose</v>
      </c>
      <c r="D237" s="5" t="str">
        <f ca="1">IFERROR(__xludf.DUMMYFUNCTION("AI(""Fill an appropriate value for this cell based on the table context"")"),"His jocular remarks during the meeting lightened the mood and made everyone laugh.")</f>
        <v>His jocular remarks during the meeting lightened the mood and made everyone laugh.</v>
      </c>
      <c r="E237" s="5"/>
      <c r="F237" s="5"/>
      <c r="G237" s="5"/>
      <c r="H237" s="5"/>
      <c r="I237" s="5"/>
      <c r="J237" s="5"/>
      <c r="K237" s="5"/>
      <c r="L237" s="5"/>
      <c r="M237" s="5"/>
      <c r="N237" s="5"/>
      <c r="O237" s="5"/>
      <c r="P237" s="5"/>
      <c r="Q237" s="5"/>
      <c r="R237" s="5"/>
      <c r="S237" s="5"/>
      <c r="T237" s="5"/>
      <c r="U237" s="5"/>
      <c r="V237" s="5"/>
      <c r="W237" s="5"/>
      <c r="X237" s="5"/>
      <c r="Y237" s="5"/>
      <c r="Z237" s="5"/>
    </row>
    <row r="238" spans="1:26" ht="12.5" x14ac:dyDescent="0.25">
      <c r="A238" s="5" t="s">
        <v>698</v>
      </c>
      <c r="B238" s="5" t="str">
        <f ca="1">IFERROR(__xludf.DUMMYFUNCTION("AI(""Fill an appropriate value for this cell based on the table context"")"),"humorous or liking to play; given to joking")</f>
        <v>humorous or liking to play; given to joking</v>
      </c>
      <c r="C238" s="5" t="str">
        <f ca="1">IFERROR(__xludf.DUMMYFUNCTION("AI(""Fill an appropriate value for this cell based on the table context"")"),"facetious, humorous, jocular")</f>
        <v>facetious, humorous, jocular</v>
      </c>
      <c r="D238" s="5" t="str">
        <f ca="1">IFERROR(__xludf.DUMMYFUNCTION("AI(""Fill an appropriate value for this cell based on the table context"")"),"The jocose old gentleman had everyone at the table chuckling.")</f>
        <v>The jocose old gentleman had everyone at the table chuckling.</v>
      </c>
      <c r="E238" s="5"/>
      <c r="F238" s="5"/>
      <c r="G238" s="5"/>
      <c r="H238" s="5"/>
      <c r="I238" s="5"/>
      <c r="J238" s="5"/>
      <c r="K238" s="5"/>
      <c r="L238" s="5"/>
      <c r="M238" s="5"/>
      <c r="N238" s="5"/>
      <c r="O238" s="5"/>
      <c r="P238" s="5"/>
      <c r="Q238" s="5"/>
      <c r="R238" s="5"/>
      <c r="S238" s="5"/>
      <c r="T238" s="5"/>
      <c r="U238" s="5"/>
      <c r="V238" s="5"/>
      <c r="W238" s="5"/>
      <c r="X238" s="5"/>
      <c r="Y238" s="5"/>
      <c r="Z238" s="5"/>
    </row>
    <row r="239" spans="1:26" ht="12.5" x14ac:dyDescent="0.25">
      <c r="A239" s="5" t="s">
        <v>699</v>
      </c>
      <c r="B239" s="5" t="str">
        <f ca="1">IFERROR(__xludf.DUMMYFUNCTION("AI(""Fill an appropriate value for this cell based on the table context"")"),"several different types; various")</f>
        <v>several different types; various</v>
      </c>
      <c r="C239" s="5" t="str">
        <f ca="1">IFERROR(__xludf.DUMMYFUNCTION("AI(""Fill an appropriate value for this cell based on the table context"")"),"various, assorted, miscellaneous")</f>
        <v>various, assorted, miscellaneous</v>
      </c>
      <c r="D239" s="5" t="str">
        <f ca="1">IFERROR(__xludf.DUMMYFUNCTION("AI(""Fill an appropriate value for this cell based on the table context"")"),"The drawer contains stationery and other sundry items.")</f>
        <v>The drawer contains stationery and other sundry items.</v>
      </c>
      <c r="E239" s="5"/>
      <c r="F239" s="5"/>
      <c r="G239" s="5"/>
      <c r="H239" s="5"/>
      <c r="I239" s="5"/>
      <c r="J239" s="5"/>
      <c r="K239" s="5"/>
      <c r="L239" s="5"/>
      <c r="M239" s="5"/>
      <c r="N239" s="5"/>
      <c r="O239" s="5"/>
      <c r="P239" s="5"/>
      <c r="Q239" s="5"/>
      <c r="R239" s="5"/>
      <c r="S239" s="5"/>
      <c r="T239" s="5"/>
      <c r="U239" s="5"/>
      <c r="V239" s="5"/>
      <c r="W239" s="5"/>
      <c r="X239" s="5"/>
      <c r="Y239" s="5"/>
      <c r="Z239" s="5"/>
    </row>
    <row r="240" spans="1:26" ht="12.5" x14ac:dyDescent="0.25">
      <c r="A240" s="5" t="s">
        <v>700</v>
      </c>
      <c r="B240" s="5" t="str">
        <f ca="1">IFERROR(__xludf.DUMMYFUNCTION("AI(""Fill an appropriate value for this cell based on the table context"")"),"showing willingness to end a disagreement, or trying to make someone less angry")</f>
        <v>showing willingness to end a disagreement, or trying to make someone less angry</v>
      </c>
      <c r="C240" s="5" t="str">
        <f ca="1">IFERROR(__xludf.DUMMYFUNCTION("AI(""Fill an appropriate value for this cell based on the table context"")"),"appeasing, pacifying, placatory")</f>
        <v>appeasing, pacifying, placatory</v>
      </c>
      <c r="D240" s="5" t="str">
        <f ca="1">IFERROR(__xludf.DUMMYFUNCTION("AI(""Fill an appropriate value for this cell based on the table context"")"),"The manager tried to strike a conciliatory tone during the meeting to resolve the dispute.")</f>
        <v>The manager tried to strike a conciliatory tone during the meeting to resolve the dispute.</v>
      </c>
      <c r="E240" s="5"/>
      <c r="F240" s="5"/>
      <c r="G240" s="5"/>
      <c r="H240" s="5"/>
      <c r="I240" s="5"/>
      <c r="J240" s="5"/>
      <c r="K240" s="5"/>
      <c r="L240" s="5"/>
      <c r="M240" s="5"/>
      <c r="N240" s="5"/>
      <c r="O240" s="5"/>
      <c r="P240" s="5"/>
      <c r="Q240" s="5"/>
      <c r="R240" s="5"/>
      <c r="S240" s="5"/>
      <c r="T240" s="5"/>
      <c r="U240" s="5"/>
      <c r="V240" s="5"/>
      <c r="W240" s="5"/>
      <c r="X240" s="5"/>
      <c r="Y240" s="5"/>
      <c r="Z240" s="5"/>
    </row>
    <row r="241" spans="1:26" ht="12.5" x14ac:dyDescent="0.25">
      <c r="A241" s="5" t="s">
        <v>701</v>
      </c>
      <c r="B241" s="5" t="str">
        <f ca="1">IFERROR(__xludf.DUMMYFUNCTION("AI(""Fill an appropriate value for this cell based on the table context"")"),"having a harmful effect, especially in a gradual or subtle way")</f>
        <v>having a harmful effect, especially in a gradual or subtle way</v>
      </c>
      <c r="C241" s="5" t="str">
        <f ca="1">IFERROR(__xludf.DUMMYFUNCTION("AI(""Fill an appropriate value for this cell based on the table context"")"),"baneful, deleterious, detrimental")</f>
        <v>baneful, deleterious, detrimental</v>
      </c>
      <c r="D241" s="5" t="str">
        <f ca="1">IFERROR(__xludf.DUMMYFUNCTION("AI(""Fill an appropriate value for this cell based on the table context"")"),"She thinks television has a pernicious influence on our children.")</f>
        <v>She thinks television has a pernicious influence on our children.</v>
      </c>
      <c r="E241" s="5"/>
      <c r="F241" s="5"/>
      <c r="G241" s="5"/>
      <c r="H241" s="5"/>
      <c r="I241" s="5"/>
      <c r="J241" s="5"/>
      <c r="K241" s="5"/>
      <c r="L241" s="5"/>
      <c r="M241" s="5"/>
      <c r="N241" s="5"/>
      <c r="O241" s="5"/>
      <c r="P241" s="5"/>
      <c r="Q241" s="5"/>
      <c r="R241" s="5"/>
      <c r="S241" s="5"/>
      <c r="T241" s="5"/>
      <c r="U241" s="5"/>
      <c r="V241" s="5"/>
      <c r="W241" s="5"/>
      <c r="X241" s="5"/>
      <c r="Y241" s="5"/>
      <c r="Z241" s="5"/>
    </row>
    <row r="242" spans="1:26" ht="12.5" x14ac:dyDescent="0.25">
      <c r="A242" s="5" t="s">
        <v>702</v>
      </c>
      <c r="B242" s="5" t="str">
        <f ca="1">IFERROR(__xludf.DUMMYFUNCTION("AI(""Fill an appropriate value for this cell based on the table context"")"),"harmful or causing damage")</f>
        <v>harmful or causing damage</v>
      </c>
      <c r="C242" s="5" t="str">
        <f ca="1">IFERROR(__xludf.DUMMYFUNCTION("AI(""Fill an appropriate value for this cell based on the table context"")"),"harmful, detrimental, damaging")</f>
        <v>harmful, detrimental, damaging</v>
      </c>
      <c r="D242" s="5" t="str">
        <f ca="1">IFERROR(__xludf.DUMMYFUNCTION("AI(""Fill an appropriate value for this cell based on the table context"")"),"The lack of sleep can have a deleterious effect on the body's ability to recuperate.")</f>
        <v>The lack of sleep can have a deleterious effect on the body's ability to recuperate.</v>
      </c>
      <c r="E242" s="5"/>
      <c r="F242" s="5"/>
      <c r="G242" s="5"/>
      <c r="H242" s="5"/>
      <c r="I242" s="5"/>
      <c r="J242" s="5"/>
      <c r="K242" s="5"/>
      <c r="L242" s="5"/>
      <c r="M242" s="5"/>
      <c r="N242" s="5"/>
      <c r="O242" s="5"/>
      <c r="P242" s="5"/>
      <c r="Q242" s="5"/>
      <c r="R242" s="5"/>
      <c r="S242" s="5"/>
      <c r="T242" s="5"/>
      <c r="U242" s="5"/>
      <c r="V242" s="5"/>
      <c r="W242" s="5"/>
      <c r="X242" s="5"/>
      <c r="Y242" s="5"/>
      <c r="Z242" s="5"/>
    </row>
    <row r="243" spans="1:26" ht="12.5" x14ac:dyDescent="0.25">
      <c r="A243" s="5" t="s">
        <v>703</v>
      </c>
      <c r="B243" s="5" t="str">
        <f ca="1">IFERROR(__xludf.DUMMYFUNCTION("AI(""Fill an appropriate value for this cell based on the table context"")"),"make something more lively or vivid")</f>
        <v>make something more lively or vivid</v>
      </c>
      <c r="C243" s="5" t="str">
        <f ca="1">IFERROR(__xludf.DUMMYFUNCTION("AI(""Fill an appropriate value for this cell based on the table context"")"),"animate, enliven, quicken")</f>
        <v>animate, enliven, quicken</v>
      </c>
      <c r="D243" s="5" t="str">
        <f ca="1">IFERROR(__xludf.DUMMYFUNCTION("AI(""Fill an appropriate value for this cell based on the table context"")"),"She used vibrant colors to vivify her painting.")</f>
        <v>She used vibrant colors to vivify her painting.</v>
      </c>
      <c r="E243" s="5"/>
      <c r="F243" s="5"/>
      <c r="G243" s="5"/>
      <c r="H243" s="5"/>
      <c r="I243" s="5"/>
      <c r="J243" s="5"/>
      <c r="K243" s="5"/>
      <c r="L243" s="5"/>
      <c r="M243" s="5"/>
      <c r="N243" s="5"/>
      <c r="O243" s="5"/>
      <c r="P243" s="5"/>
      <c r="Q243" s="5"/>
      <c r="R243" s="5"/>
      <c r="S243" s="5"/>
      <c r="T243" s="5"/>
      <c r="U243" s="5"/>
      <c r="V243" s="5"/>
      <c r="W243" s="5"/>
      <c r="X243" s="5"/>
      <c r="Y243" s="5"/>
      <c r="Z243" s="5"/>
    </row>
    <row r="244" spans="1:26" ht="12.5" x14ac:dyDescent="0.25">
      <c r="A244" s="5" t="s">
        <v>704</v>
      </c>
      <c r="B244" s="5" t="str">
        <f ca="1">IFERROR(__xludf.DUMMYFUNCTION("AI(""Fill an appropriate value for this cell based on the table context"")"),"to make something less or weaker")</f>
        <v>to make something less or weaker</v>
      </c>
      <c r="C244" s="5" t="str">
        <f ca="1">IFERROR(__xludf.DUMMYFUNCTION("AI(""Fill an appropriate value for this cell based on the table context"")"),"weaken, reduce, diminish")</f>
        <v>weaken, reduce, diminish</v>
      </c>
      <c r="D244" s="5" t="str">
        <f ca="1">IFERROR(__xludf.DUMMYFUNCTION("AI(""Fill an appropriate value for this cell based on the table context"")"),"Earplugs will attenuate the loud sounds of the machinery.")</f>
        <v>Earplugs will attenuate the loud sounds of the machinery.</v>
      </c>
      <c r="E244" s="5"/>
      <c r="F244" s="5"/>
      <c r="G244" s="5"/>
      <c r="H244" s="5"/>
      <c r="I244" s="5"/>
      <c r="J244" s="5"/>
      <c r="K244" s="5"/>
      <c r="L244" s="5"/>
      <c r="M244" s="5"/>
      <c r="N244" s="5"/>
      <c r="O244" s="5"/>
      <c r="P244" s="5"/>
      <c r="Q244" s="5"/>
      <c r="R244" s="5"/>
      <c r="S244" s="5"/>
      <c r="T244" s="5"/>
      <c r="U244" s="5"/>
      <c r="V244" s="5"/>
      <c r="W244" s="5"/>
      <c r="X244" s="5"/>
      <c r="Y244" s="5"/>
      <c r="Z244" s="5"/>
    </row>
    <row r="245" spans="1:26" ht="12.5" x14ac:dyDescent="0.25">
      <c r="A245" s="5" t="s">
        <v>705</v>
      </c>
      <c r="B245" s="5" t="str">
        <f ca="1">IFERROR(__xludf.DUMMYFUNCTION("AI(""Fill an appropriate value for this cell based on the table context"")"),"giving too much attention to small details and wanting everything to be correct and perfect")</f>
        <v>giving too much attention to small details and wanting everything to be correct and perfect</v>
      </c>
      <c r="C245" s="5" t="str">
        <f ca="1">IFERROR(__xludf.DUMMYFUNCTION("AI(""Fill an appropriate value for this cell based on the table context"")"),"meticulous, exacting, fussy")</f>
        <v>meticulous, exacting, fussy</v>
      </c>
      <c r="D245" s="5" t="str">
        <f ca="1">IFERROR(__xludf.DUMMYFUNCTION("AI(""Fill an appropriate value for this cell based on the table context"")"),"He was fastidious about keeping the house clean.")</f>
        <v>He was fastidious about keeping the house clean.</v>
      </c>
      <c r="E245" s="5"/>
      <c r="F245" s="5"/>
      <c r="G245" s="5"/>
      <c r="H245" s="5"/>
      <c r="I245" s="5"/>
      <c r="J245" s="5"/>
      <c r="K245" s="5"/>
      <c r="L245" s="5"/>
      <c r="M245" s="5"/>
      <c r="N245" s="5"/>
      <c r="O245" s="5"/>
      <c r="P245" s="5"/>
      <c r="Q245" s="5"/>
      <c r="R245" s="5"/>
      <c r="S245" s="5"/>
      <c r="T245" s="5"/>
      <c r="U245" s="5"/>
      <c r="V245" s="5"/>
      <c r="W245" s="5"/>
      <c r="X245" s="5"/>
      <c r="Y245" s="5"/>
      <c r="Z245" s="5"/>
    </row>
    <row r="246" spans="1:26" ht="12.5" x14ac:dyDescent="0.25">
      <c r="A246" s="5" t="s">
        <v>706</v>
      </c>
      <c r="B246" s="5" t="str">
        <f ca="1">IFERROR(__xludf.DUMMYFUNCTION("AI(""Fill an appropriate value for this cell based on the table context"")"),"demanding a lot of effort, care, or attention")</f>
        <v>demanding a lot of effort, care, or attention</v>
      </c>
      <c r="C246" s="5" t="str">
        <f ca="1">IFERROR(__xludf.DUMMYFUNCTION("AI(""Fill an appropriate value for this cell based on the table context"")"),"burdensome, onerous, oppressive")</f>
        <v>burdensome, onerous, oppressive</v>
      </c>
      <c r="D246" s="5" t="str">
        <f ca="1">IFERROR(__xludf.DUMMYFUNCTION("AI(""Fill an appropriate value for this cell based on the table context"")"),"The professor set exacting standards for the final research paper, requiring perfect formatting and flawless arguments.")</f>
        <v>The professor set exacting standards for the final research paper, requiring perfect formatting and flawless arguments.</v>
      </c>
      <c r="E246" s="5"/>
      <c r="F246" s="5"/>
      <c r="G246" s="5"/>
      <c r="H246" s="5"/>
      <c r="I246" s="5"/>
      <c r="J246" s="5"/>
      <c r="K246" s="5"/>
      <c r="L246" s="5"/>
      <c r="M246" s="5"/>
      <c r="N246" s="5"/>
      <c r="O246" s="5"/>
      <c r="P246" s="5"/>
      <c r="Q246" s="5"/>
      <c r="R246" s="5"/>
      <c r="S246" s="5"/>
      <c r="T246" s="5"/>
      <c r="U246" s="5"/>
      <c r="V246" s="5"/>
      <c r="W246" s="5"/>
      <c r="X246" s="5"/>
      <c r="Y246" s="5"/>
      <c r="Z246" s="5"/>
    </row>
    <row r="247" spans="1:26" ht="12.5" x14ac:dyDescent="0.25">
      <c r="A247" s="5" t="s">
        <v>707</v>
      </c>
      <c r="B247" s="5" t="str">
        <f ca="1">IFERROR(__xludf.DUMMYFUNCTION("AI(""Fill an appropriate value for this cell based on the table context"")"),"the quality of having keen insight or understanding")</f>
        <v>the quality of having keen insight or understanding</v>
      </c>
      <c r="C247" s="5" t="str">
        <f ca="1">IFERROR(__xludf.DUMMYFUNCTION("AI(""Fill an appropriate value for this cell based on the table context"")"),"discernment, perception, insight")</f>
        <v>discernment, perception, insight</v>
      </c>
      <c r="D247" s="5" t="str">
        <f ca="1">IFERROR(__xludf.DUMMYFUNCTION("AI(""Fill an appropriate value for this cell based on the table context"")"),"The columnists were praised for their remarkable percipience and foresight regarding market trends.")</f>
        <v>The columnists were praised for their remarkable percipience and foresight regarding market trends.</v>
      </c>
      <c r="E247" s="5"/>
      <c r="F247" s="5"/>
      <c r="G247" s="5"/>
      <c r="H247" s="5"/>
      <c r="I247" s="5"/>
      <c r="J247" s="5"/>
      <c r="K247" s="5"/>
      <c r="L247" s="5"/>
      <c r="M247" s="5"/>
      <c r="N247" s="5"/>
      <c r="O247" s="5"/>
      <c r="P247" s="5"/>
      <c r="Q247" s="5"/>
      <c r="R247" s="5"/>
      <c r="S247" s="5"/>
      <c r="T247" s="5"/>
      <c r="U247" s="5"/>
      <c r="V247" s="5"/>
      <c r="W247" s="5"/>
      <c r="X247" s="5"/>
      <c r="Y247" s="5"/>
      <c r="Z247" s="5"/>
    </row>
    <row r="248" spans="1:26" ht="12.5" x14ac:dyDescent="0.25">
      <c r="A248" s="5" t="s">
        <v>708</v>
      </c>
      <c r="B248" s="5" t="str">
        <f ca="1">IFERROR(__xludf.DUMMYFUNCTION("AI(""Fill an appropriate value for this cell based on the table context"")"),"knowing or suggesting correctly what will happen in the future")</f>
        <v>knowing or suggesting correctly what will happen in the future</v>
      </c>
      <c r="C248" s="5" t="str">
        <f ca="1">IFERROR(__xludf.DUMMYFUNCTION("AI(""Fill an appropriate value for this cell based on the table context"")"),"prophetic, foresighted, visionary")</f>
        <v>prophetic, foresighted, visionary</v>
      </c>
      <c r="D248" s="5" t="str">
        <f ca="1">IFERROR(__xludf.DUMMYFUNCTION("AI(""Fill an appropriate value for this cell based on the table context"")"),"The economist's prescient warnings about the market crash were ignored by investors.")</f>
        <v>The economist's prescient warnings about the market crash were ignored by investors.</v>
      </c>
      <c r="E248" s="5"/>
      <c r="F248" s="5"/>
      <c r="G248" s="5"/>
      <c r="H248" s="5"/>
      <c r="I248" s="5"/>
      <c r="J248" s="5"/>
      <c r="K248" s="5"/>
      <c r="L248" s="5"/>
      <c r="M248" s="5"/>
      <c r="N248" s="5"/>
      <c r="O248" s="5"/>
      <c r="P248" s="5"/>
      <c r="Q248" s="5"/>
      <c r="R248" s="5"/>
      <c r="S248" s="5"/>
      <c r="T248" s="5"/>
      <c r="U248" s="5"/>
      <c r="V248" s="5"/>
      <c r="W248" s="5"/>
      <c r="X248" s="5"/>
      <c r="Y248" s="5"/>
      <c r="Z248" s="5"/>
    </row>
    <row r="249" spans="1:26" ht="12.5" x14ac:dyDescent="0.25">
      <c r="A249" s="5" t="s">
        <v>709</v>
      </c>
      <c r="B249" s="5" t="str">
        <f ca="1">IFERROR(__xludf.DUMMYFUNCTION("AI(""Fill an appropriate value for this cell based on the table context"")"),"prove a person or an argument to be wrong")</f>
        <v>prove a person or an argument to be wrong</v>
      </c>
      <c r="C249" s="5" t="str">
        <f ca="1">IFERROR(__xludf.DUMMYFUNCTION("AI(""Fill an appropriate value for this cell based on the table context"")"),"refute, disprove, rebut")</f>
        <v>refute, disprove, rebut</v>
      </c>
      <c r="D249" s="5" t="str">
        <f ca="1">IFERROR(__xludf.DUMMYFUNCTION("AI(""Fill an appropriate value for this cell based on the table context"")"),"The lawyer confuted the testimony of the witness by showing actual photographs of the accident.")</f>
        <v>The lawyer confuted the testimony of the witness by showing actual photographs of the accident.</v>
      </c>
      <c r="E249" s="5"/>
      <c r="F249" s="5"/>
      <c r="G249" s="5"/>
      <c r="H249" s="5"/>
      <c r="I249" s="5"/>
      <c r="J249" s="5"/>
      <c r="K249" s="5"/>
      <c r="L249" s="5"/>
      <c r="M249" s="5"/>
      <c r="N249" s="5"/>
      <c r="O249" s="5"/>
      <c r="P249" s="5"/>
      <c r="Q249" s="5"/>
      <c r="R249" s="5"/>
      <c r="S249" s="5"/>
      <c r="T249" s="5"/>
      <c r="U249" s="5"/>
      <c r="V249" s="5"/>
      <c r="W249" s="5"/>
      <c r="X249" s="5"/>
      <c r="Y249" s="5"/>
      <c r="Z249" s="5"/>
    </row>
    <row r="250" spans="1:26" ht="12.5" x14ac:dyDescent="0.25">
      <c r="A250" s="5" t="s">
        <v>710</v>
      </c>
      <c r="B250" s="5" t="str">
        <f ca="1">IFERROR(__xludf.DUMMYFUNCTION("AI(""Fill an appropriate value for this cell based on the table context"")"),"deny, refute, or oppose an argument or opinion")</f>
        <v>deny, refute, or oppose an argument or opinion</v>
      </c>
      <c r="C250" s="5" t="str">
        <f ca="1">IFERROR(__xludf.DUMMYFUNCTION("AI(""Fill an appropriate value for this cell based on the table context"")"),"contradict, oppose, refute")</f>
        <v>contradict, oppose, refute</v>
      </c>
      <c r="D250" s="5" t="str">
        <f ca="1">IFERROR(__xludf.DUMMYFUNCTION("AI(""Fill an appropriate value for this cell based on the table context"")"),"He spent the entire debate trying to controvert his opponent's arguments.")</f>
        <v>He spent the entire debate trying to controvert his opponent's arguments.</v>
      </c>
      <c r="E250" s="5"/>
      <c r="F250" s="5"/>
      <c r="G250" s="5"/>
      <c r="H250" s="5"/>
      <c r="I250" s="5"/>
      <c r="J250" s="5"/>
      <c r="K250" s="5"/>
      <c r="L250" s="5"/>
      <c r="M250" s="5"/>
      <c r="N250" s="5"/>
      <c r="O250" s="5"/>
      <c r="P250" s="5"/>
      <c r="Q250" s="5"/>
      <c r="R250" s="5"/>
      <c r="S250" s="5"/>
      <c r="T250" s="5"/>
      <c r="U250" s="5"/>
      <c r="V250" s="5"/>
      <c r="W250" s="5"/>
      <c r="X250" s="5"/>
      <c r="Y250" s="5"/>
      <c r="Z250" s="5"/>
    </row>
    <row r="251" spans="1:26" ht="12.5" x14ac:dyDescent="0.25">
      <c r="A251" s="5" t="s">
        <v>711</v>
      </c>
      <c r="B251" s="5" t="str">
        <f ca="1">IFERROR(__xludf.DUMMYFUNCTION("AI(""Fill an appropriate value for this cell based on the table context"")"),"lacking imagination, ordinary, or dull")</f>
        <v>lacking imagination, ordinary, or dull</v>
      </c>
      <c r="C251" s="5" t="str">
        <f ca="1">IFERROR(__xludf.DUMMYFUNCTION("AI(""Fill an appropriate value for this cell based on the table context"")"),"mundane, humdrum, prosaic")</f>
        <v>mundane, humdrum, prosaic</v>
      </c>
      <c r="D251" s="5" t="str">
        <f ca="1">IFERROR(__xludf.DUMMYFUNCTION("AI(""Fill an appropriate value for this cell based on the table context"")"),"The movie's plot was rather pedestrian and predictable.")</f>
        <v>The movie's plot was rather pedestrian and predictable.</v>
      </c>
      <c r="E251" s="5"/>
      <c r="F251" s="5"/>
      <c r="G251" s="5"/>
      <c r="H251" s="5"/>
      <c r="I251" s="5"/>
      <c r="J251" s="5"/>
      <c r="K251" s="5"/>
      <c r="L251" s="5"/>
      <c r="M251" s="5"/>
      <c r="N251" s="5"/>
      <c r="O251" s="5"/>
      <c r="P251" s="5"/>
      <c r="Q251" s="5"/>
      <c r="R251" s="5"/>
      <c r="S251" s="5"/>
      <c r="T251" s="5"/>
      <c r="U251" s="5"/>
      <c r="V251" s="5"/>
      <c r="W251" s="5"/>
      <c r="X251" s="5"/>
      <c r="Y251" s="5"/>
      <c r="Z251" s="5"/>
    </row>
    <row r="252" spans="1:26" ht="25" x14ac:dyDescent="0.25">
      <c r="A252" s="5" t="s">
        <v>712</v>
      </c>
      <c r="B252" s="5" t="str">
        <f ca="1">IFERROR(__xludf.DUMMYFUNCTION("AI(""Fill an appropriate value for this cell based on the table context"")"),"capable of being understood by careful study or investigation")</f>
        <v>capable of being understood by careful study or investigation</v>
      </c>
      <c r="C252" s="5" t="str">
        <f ca="1">IFERROR(__xludf.DUMMYFUNCTION("AI(""Fill an appropriate value for this cell based on the table context"")"),"understandable, accessible, comprehensible")</f>
        <v>understandable, accessible, comprehensible</v>
      </c>
      <c r="D252" s="5" t="str">
        <f ca="1">IFERROR(__xludf.DUMMYFUNCTION("AI(""Fill an appropriate value for this cell based on the table context"")"),"Your calculations should be completely scrutable, so that another researcher can reproduce your results.")</f>
        <v>Your calculations should be completely scrutable, so that another researcher can reproduce your results.</v>
      </c>
      <c r="E252" s="5"/>
      <c r="F252" s="5"/>
      <c r="G252" s="5"/>
      <c r="H252" s="5"/>
      <c r="I252" s="5"/>
      <c r="J252" s="5"/>
      <c r="K252" s="5"/>
      <c r="L252" s="5"/>
      <c r="M252" s="5"/>
      <c r="N252" s="5"/>
      <c r="O252" s="5"/>
      <c r="P252" s="5"/>
      <c r="Q252" s="5"/>
      <c r="R252" s="5"/>
      <c r="S252" s="5"/>
      <c r="T252" s="5"/>
      <c r="U252" s="5"/>
      <c r="V252" s="5"/>
      <c r="W252" s="5"/>
      <c r="X252" s="5"/>
      <c r="Y252" s="5"/>
      <c r="Z252" s="5"/>
    </row>
    <row r="253" spans="1:26" ht="12.5" x14ac:dyDescent="0.25">
      <c r="A253" s="5" t="s">
        <v>713</v>
      </c>
      <c r="B253" s="5" t="str">
        <f ca="1">IFERROR(__xludf.DUMMYFUNCTION("AI(""Fill an appropriate value for this cell based on the table context"")"),"complacently or inanely foolish; silly")</f>
        <v>complacently or inanely foolish; silly</v>
      </c>
      <c r="C253" s="5" t="str">
        <f ca="1">IFERROR(__xludf.DUMMYFUNCTION("AI(""Fill an appropriate value for this cell based on the table context"")"),"asinine, foolish, silly")</f>
        <v>asinine, foolish, silly</v>
      </c>
      <c r="D253" s="5" t="str">
        <f ca="1">IFERROR(__xludf.DUMMYFUNCTION("AI(""Fill an appropriate value for this cell based on the table context"")"),"Ignoring the avalanche warnings, the fatuous skiers continued on their way down the trail.")</f>
        <v>Ignoring the avalanche warnings, the fatuous skiers continued on their way down the trail.</v>
      </c>
      <c r="E253" s="5"/>
      <c r="F253" s="5"/>
      <c r="G253" s="5"/>
      <c r="H253" s="5"/>
      <c r="I253" s="5"/>
      <c r="J253" s="5"/>
      <c r="K253" s="5"/>
      <c r="L253" s="5"/>
      <c r="M253" s="5"/>
      <c r="N253" s="5"/>
      <c r="O253" s="5"/>
      <c r="P253" s="5"/>
      <c r="Q253" s="5"/>
      <c r="R253" s="5"/>
      <c r="S253" s="5"/>
      <c r="T253" s="5"/>
      <c r="U253" s="5"/>
      <c r="V253" s="5"/>
      <c r="W253" s="5"/>
      <c r="X253" s="5"/>
      <c r="Y253" s="5"/>
      <c r="Z253" s="5"/>
    </row>
    <row r="254" spans="1:26" ht="12.5" x14ac:dyDescent="0.25">
      <c r="A254" s="5" t="s">
        <v>714</v>
      </c>
      <c r="B254" s="5" t="str">
        <f ca="1">IFERROR(__xludf.DUMMYFUNCTION("AI(""Fill an appropriate value for this cell based on the table context"")"),"strange, surprising, or uncontrolled in a humorous way")</f>
        <v>strange, surprising, or uncontrolled in a humorous way</v>
      </c>
      <c r="C254" s="5" t="str">
        <f ca="1">IFERROR(__xludf.DUMMYFUNCTION("AI(""Fill an appropriate value for this cell based on the table context"")"),"eccentric, quirky, wacky")</f>
        <v>eccentric, quirky, wacky</v>
      </c>
      <c r="D254" s="5" t="str">
        <f ca="1">IFERROR(__xludf.DUMMYFUNCTION("AI(""Fill an appropriate value for this cell based on the table context"")"),"The comedian entertained the audience with his zany antics and wacky jokes.")</f>
        <v>The comedian entertained the audience with his zany antics and wacky jokes.</v>
      </c>
      <c r="E254" s="5"/>
      <c r="F254" s="5"/>
      <c r="G254" s="5"/>
      <c r="H254" s="5"/>
      <c r="I254" s="5"/>
      <c r="J254" s="5"/>
      <c r="K254" s="5"/>
      <c r="L254" s="5"/>
      <c r="M254" s="5"/>
      <c r="N254" s="5"/>
      <c r="O254" s="5"/>
      <c r="P254" s="5"/>
      <c r="Q254" s="5"/>
      <c r="R254" s="5"/>
      <c r="S254" s="5"/>
      <c r="T254" s="5"/>
      <c r="U254" s="5"/>
      <c r="V254" s="5"/>
      <c r="W254" s="5"/>
      <c r="X254" s="5"/>
      <c r="Y254" s="5"/>
      <c r="Z254" s="5"/>
    </row>
    <row r="255" spans="1:26" ht="12.5" x14ac:dyDescent="0.25">
      <c r="A255" s="5" t="s">
        <v>715</v>
      </c>
      <c r="B255" s="5" t="str">
        <f ca="1">IFERROR(__xludf.DUMMYFUNCTION("AI(""Fill an appropriate value for this cell based on the table context"")"),"extremely stupid or silly")</f>
        <v>extremely stupid or silly</v>
      </c>
      <c r="C255" s="5" t="str">
        <f ca="1">IFERROR(__xludf.DUMMYFUNCTION("AI(""Fill an appropriate value for this cell based on the table context"")"),"fatuous, foolish, silly")</f>
        <v>fatuous, foolish, silly</v>
      </c>
      <c r="D255" s="5" t="str">
        <f ca="1">IFERROR(__xludf.DUMMYFUNCTION("AI(""Fill an appropriate value for this cell based on the table context"")"),"It was an asinine decision to leave the door unlocked.")</f>
        <v>It was an asinine decision to leave the door unlocked.</v>
      </c>
      <c r="E255" s="5"/>
      <c r="F255" s="5"/>
      <c r="G255" s="5"/>
      <c r="H255" s="5"/>
      <c r="I255" s="5"/>
      <c r="J255" s="5"/>
      <c r="K255" s="5"/>
      <c r="L255" s="5"/>
      <c r="M255" s="5"/>
      <c r="N255" s="5"/>
      <c r="O255" s="5"/>
      <c r="P255" s="5"/>
      <c r="Q255" s="5"/>
      <c r="R255" s="5"/>
      <c r="S255" s="5"/>
      <c r="T255" s="5"/>
      <c r="U255" s="5"/>
      <c r="V255" s="5"/>
      <c r="W255" s="5"/>
      <c r="X255" s="5"/>
      <c r="Y255" s="5"/>
      <c r="Z255" s="5"/>
    </row>
    <row r="256" spans="1:26" ht="12.5" x14ac:dyDescent="0.25">
      <c r="A256" s="5" t="s">
        <v>716</v>
      </c>
      <c r="B256" s="5" t="str">
        <f ca="1">IFERROR(__xludf.DUMMYFUNCTION("AI(""Fill an appropriate value for this cell based on the table context"")"),"consisting of many different types, parts, or colors that do not seem to belong together")</f>
        <v>consisting of many different types, parts, or colors that do not seem to belong together</v>
      </c>
      <c r="C256" s="5" t="str">
        <f ca="1">IFERROR(__xludf.DUMMYFUNCTION("AI(""Fill an appropriate value for this cell based on the table context"")"),"eclectic, varied, assorted")</f>
        <v>eclectic, varied, assorted</v>
      </c>
      <c r="D256" s="5" t="str">
        <f ca="1">IFERROR(__xludf.DUMMYFUNCTION("AI(""Fill an appropriate value for this cell based on the table context"")"),"The room was filled with a motley collection of old furniture from different eras.")</f>
        <v>The room was filled with a motley collection of old furniture from different eras.</v>
      </c>
      <c r="E256" s="5"/>
      <c r="F256" s="5"/>
      <c r="G256" s="5"/>
      <c r="H256" s="5"/>
      <c r="I256" s="5"/>
      <c r="J256" s="5"/>
      <c r="K256" s="5"/>
      <c r="L256" s="5"/>
      <c r="M256" s="5"/>
      <c r="N256" s="5"/>
      <c r="O256" s="5"/>
      <c r="P256" s="5"/>
      <c r="Q256" s="5"/>
      <c r="R256" s="5"/>
      <c r="S256" s="5"/>
      <c r="T256" s="5"/>
      <c r="U256" s="5"/>
      <c r="V256" s="5"/>
      <c r="W256" s="5"/>
      <c r="X256" s="5"/>
      <c r="Y256" s="5"/>
      <c r="Z256" s="5"/>
    </row>
    <row r="257" spans="1:26" ht="12.5" x14ac:dyDescent="0.25">
      <c r="A257" s="5" t="s">
        <v>717</v>
      </c>
      <c r="B257" s="5" t="str">
        <f ca="1">IFERROR(__xludf.DUMMYFUNCTION("AI(""Fill an appropriate value for this cell based on the table context"")"),"expecting to be obeyed immediately and without any questions")</f>
        <v>expecting to be obeyed immediately and without any questions</v>
      </c>
      <c r="C257" s="5" t="str">
        <f ca="1">IFERROR(__xludf.DUMMYFUNCTION("AI(""Fill an appropriate value for this cell based on the table context"")"),"imperious, dictatorial, domineering")</f>
        <v>imperious, dictatorial, domineering</v>
      </c>
      <c r="D257" s="5" t="str">
        <f ca="1">IFERROR(__xludf.DUMMYFUNCTION("AI(""Fill an appropriate value for this cell based on the table context"")"),"In his usual peremptory manner, he ordered us all into the conference room.")</f>
        <v>In his usual peremptory manner, he ordered us all into the conference room.</v>
      </c>
      <c r="E257" s="5"/>
      <c r="F257" s="5"/>
      <c r="G257" s="5"/>
      <c r="H257" s="5"/>
      <c r="I257" s="5"/>
      <c r="J257" s="5"/>
      <c r="K257" s="5"/>
      <c r="L257" s="5"/>
      <c r="M257" s="5"/>
      <c r="N257" s="5"/>
      <c r="O257" s="5"/>
      <c r="P257" s="5"/>
      <c r="Q257" s="5"/>
      <c r="R257" s="5"/>
      <c r="S257" s="5"/>
      <c r="T257" s="5"/>
      <c r="U257" s="5"/>
      <c r="V257" s="5"/>
      <c r="W257" s="5"/>
      <c r="X257" s="5"/>
      <c r="Y257" s="5"/>
      <c r="Z257" s="5"/>
    </row>
    <row r="258" spans="1:26" ht="12.5" x14ac:dyDescent="0.25">
      <c r="A258" s="5" t="s">
        <v>718</v>
      </c>
      <c r="B258" s="5" t="str">
        <f ca="1">IFERROR(__xludf.DUMMYFUNCTION("AI(""Fill an appropriate value for this cell based on the table context"")"),"too eager to tell people what to do or offering unwanted advice")</f>
        <v>too eager to tell people what to do or offering unwanted advice</v>
      </c>
      <c r="C258" s="5" t="str">
        <f ca="1">IFERROR(__xludf.DUMMYFUNCTION("AI(""Fill an appropriate value for this cell based on the table context"")"),"impertinent, intrusive, meddlesome")</f>
        <v>impertinent, intrusive, meddlesome</v>
      </c>
      <c r="D258" s="5" t="str">
        <f ca="1">IFERROR(__xludf.DUMMYFUNCTION("AI(""Fill an appropriate value for this cell based on the table context"")"),"The officious assistant kept interrupting the meeting, offering unsolicited advice to everyone present.")</f>
        <v>The officious assistant kept interrupting the meeting, offering unsolicited advice to everyone present.</v>
      </c>
      <c r="E258" s="5"/>
      <c r="F258" s="5"/>
      <c r="G258" s="5"/>
      <c r="H258" s="5"/>
      <c r="I258" s="5"/>
      <c r="J258" s="5"/>
      <c r="K258" s="5"/>
      <c r="L258" s="5"/>
      <c r="M258" s="5"/>
      <c r="N258" s="5"/>
      <c r="O258" s="5"/>
      <c r="P258" s="5"/>
      <c r="Q258" s="5"/>
      <c r="R258" s="5"/>
      <c r="S258" s="5"/>
      <c r="T258" s="5"/>
      <c r="U258" s="5"/>
      <c r="V258" s="5"/>
      <c r="W258" s="5"/>
      <c r="X258" s="5"/>
      <c r="Y258" s="5"/>
      <c r="Z258" s="5"/>
    </row>
    <row r="259" spans="1:26" ht="12.5" x14ac:dyDescent="0.25">
      <c r="A259" s="5" t="s">
        <v>719</v>
      </c>
      <c r="B259" s="5" t="str">
        <f ca="1">IFERROR(__xludf.DUMMYFUNCTION("AI(""Fill an appropriate value for this cell based on the table context"")"),"not appropriate or pertinent; unsuitable")</f>
        <v>not appropriate or pertinent; unsuitable</v>
      </c>
      <c r="C259" s="5" t="str">
        <f ca="1">IFERROR(__xludf.DUMMYFUNCTION("AI(""Fill an appropriate value for this cell based on the table context"")"),"unsuitable, improper, irrelevant")</f>
        <v>unsuitable, improper, irrelevant</v>
      </c>
      <c r="D259" s="5" t="str">
        <f ca="1">IFERROR(__xludf.DUMMYFUNCTION("AI(""Fill an appropriate value for this cell based on the table context"")"),"His lighthearted comments were completely inapposite for such a solemn occasion.")</f>
        <v>His lighthearted comments were completely inapposite for such a solemn occasion.</v>
      </c>
      <c r="E259" s="5"/>
      <c r="F259" s="5"/>
      <c r="G259" s="5"/>
      <c r="H259" s="5"/>
      <c r="I259" s="5"/>
      <c r="J259" s="5"/>
      <c r="K259" s="5"/>
      <c r="L259" s="5"/>
      <c r="M259" s="5"/>
      <c r="N259" s="5"/>
      <c r="O259" s="5"/>
      <c r="P259" s="5"/>
      <c r="Q259" s="5"/>
      <c r="R259" s="5"/>
      <c r="S259" s="5"/>
      <c r="T259" s="5"/>
      <c r="U259" s="5"/>
      <c r="V259" s="5"/>
      <c r="W259" s="5"/>
      <c r="X259" s="5"/>
      <c r="Y259" s="5"/>
      <c r="Z259" s="5"/>
    </row>
    <row r="260" spans="1:26" ht="12.5" x14ac:dyDescent="0.25">
      <c r="A260" s="5" t="s">
        <v>720</v>
      </c>
      <c r="B260" s="5" t="str">
        <f ca="1">IFERROR(__xludf.DUMMYFUNCTION("AI(""Fill an appropriate value for this cell based on the table context"")"),"spread throughout, existing in every part of something")</f>
        <v>spread throughout, existing in every part of something</v>
      </c>
      <c r="C260" s="5" t="str">
        <f ca="1">IFERROR(__xludf.DUMMYFUNCTION("AI(""Fill an appropriate value for this cell based on the table context"")"),"widespread, prevalent, ubiquitous")</f>
        <v>widespread, prevalent, ubiquitous</v>
      </c>
      <c r="D260" s="5" t="str">
        <f ca="1">IFERROR(__xludf.DUMMYFUNCTION("AI(""Fill an appropriate value for this cell based on the table context"")"),"The influence of technology is becoming increasingly pervasive in modern society.")</f>
        <v>The influence of technology is becoming increasingly pervasive in modern society.</v>
      </c>
      <c r="E260" s="5"/>
      <c r="F260" s="5"/>
      <c r="G260" s="5"/>
      <c r="H260" s="5"/>
      <c r="I260" s="5"/>
      <c r="J260" s="5"/>
      <c r="K260" s="5"/>
      <c r="L260" s="5"/>
      <c r="M260" s="5"/>
      <c r="N260" s="5"/>
      <c r="O260" s="5"/>
      <c r="P260" s="5"/>
      <c r="Q260" s="5"/>
      <c r="R260" s="5"/>
      <c r="S260" s="5"/>
      <c r="T260" s="5"/>
      <c r="U260" s="5"/>
      <c r="V260" s="5"/>
      <c r="W260" s="5"/>
      <c r="X260" s="5"/>
      <c r="Y260" s="5"/>
      <c r="Z260" s="5"/>
    </row>
    <row r="261" spans="1:26" ht="25" x14ac:dyDescent="0.25">
      <c r="A261" s="5" t="s">
        <v>721</v>
      </c>
      <c r="B261" s="5" t="str">
        <f ca="1">IFERROR(__xludf.DUMMYFUNCTION("AI(""Fill an appropriate value for this cell based on the table context"")"),"deserving praise or commendation")</f>
        <v>deserving praise or commendation</v>
      </c>
      <c r="C261" s="5" t="str">
        <f ca="1">IFERROR(__xludf.DUMMYFUNCTION("AI(""Fill an appropriate value for this cell based on the table context"")"),"praiseworthy, commendable, admirable")</f>
        <v>praiseworthy, commendable, admirable</v>
      </c>
      <c r="D261" s="5" t="str">
        <f ca="1">IFERROR(__xludf.DUMMYFUNCTION("AI(""Fill an appropriate value for this cell based on the table context"")"),"Her laudable efforts to organize the charity event were widely recognized.")</f>
        <v>Her laudable efforts to organize the charity event were widely recognized.</v>
      </c>
      <c r="E261" s="5"/>
      <c r="F261" s="5"/>
      <c r="G261" s="5"/>
      <c r="H261" s="5"/>
      <c r="I261" s="5"/>
      <c r="J261" s="5"/>
      <c r="K261" s="5"/>
      <c r="L261" s="5"/>
      <c r="M261" s="5"/>
      <c r="N261" s="5"/>
      <c r="O261" s="5"/>
      <c r="P261" s="5"/>
      <c r="Q261" s="5"/>
      <c r="R261" s="5"/>
      <c r="S261" s="5"/>
      <c r="T261" s="5"/>
      <c r="U261" s="5"/>
      <c r="V261" s="5"/>
      <c r="W261" s="5"/>
      <c r="X261" s="5"/>
      <c r="Y261" s="5"/>
      <c r="Z261" s="5"/>
    </row>
    <row r="262" spans="1:26" ht="25" x14ac:dyDescent="0.25">
      <c r="A262" s="5" t="s">
        <v>722</v>
      </c>
      <c r="B262" s="5" t="str">
        <f ca="1">IFERROR(__xludf.DUMMYFUNCTION("AI(""Fill an appropriate value for this cell based on the table context"")"),"deserving praise, reward, or esteem")</f>
        <v>deserving praise, reward, or esteem</v>
      </c>
      <c r="C262" s="5" t="str">
        <f ca="1">IFERROR(__xludf.DUMMYFUNCTION("AI(""Fill an appropriate value for this cell based on the table context"")"),"praiseworthy, commendable, admirable")</f>
        <v>praiseworthy, commendable, admirable</v>
      </c>
      <c r="D262" s="5" t="str">
        <f ca="1">IFERROR(__xludf.DUMMYFUNCTION("AI(""Fill an appropriate value for this cell based on the table context"")"),"He received a medal for his meritorious service during the crisis.")</f>
        <v>He received a medal for his meritorious service during the crisis.</v>
      </c>
      <c r="E262" s="5"/>
      <c r="F262" s="5"/>
      <c r="G262" s="5"/>
      <c r="H262" s="5"/>
      <c r="I262" s="5"/>
      <c r="J262" s="5"/>
      <c r="K262" s="5"/>
      <c r="L262" s="5"/>
      <c r="M262" s="5"/>
      <c r="N262" s="5"/>
      <c r="O262" s="5"/>
      <c r="P262" s="5"/>
      <c r="Q262" s="5"/>
      <c r="R262" s="5"/>
      <c r="S262" s="5"/>
      <c r="T262" s="5"/>
      <c r="U262" s="5"/>
      <c r="V262" s="5"/>
      <c r="W262" s="5"/>
      <c r="X262" s="5"/>
      <c r="Y262" s="5"/>
      <c r="Z262" s="5"/>
    </row>
    <row r="263" spans="1:26" ht="12.5" x14ac:dyDescent="0.25">
      <c r="A263" s="5" t="s">
        <v>723</v>
      </c>
      <c r="B263" s="5" t="str">
        <f ca="1">IFERROR(__xludf.DUMMYFUNCTION("AI(""Fill an appropriate value for this cell based on the table context"")"),"deserving respect and admiration")</f>
        <v>deserving respect and admiration</v>
      </c>
      <c r="C263" s="5" t="str">
        <f ca="1">IFERROR(__xludf.DUMMYFUNCTION("AI(""Fill an appropriate value for this cell based on the table context"")"),"admirable, worthy, respectable")</f>
        <v>admirable, worthy, respectable</v>
      </c>
      <c r="D263" s="5" t="str">
        <f ca="1">IFERROR(__xludf.DUMMYFUNCTION("AI(""Fill an appropriate value for this cell based on the table context"")"),"The committee honored the estimable professor for her decades of groundbreaking research and dedication to teaching.")</f>
        <v>The committee honored the estimable professor for her decades of groundbreaking research and dedication to teaching.</v>
      </c>
      <c r="E263" s="5"/>
      <c r="F263" s="5"/>
      <c r="G263" s="5"/>
      <c r="H263" s="5"/>
      <c r="I263" s="5"/>
      <c r="J263" s="5"/>
      <c r="K263" s="5"/>
      <c r="L263" s="5"/>
      <c r="M263" s="5"/>
      <c r="N263" s="5"/>
      <c r="O263" s="5"/>
      <c r="P263" s="5"/>
      <c r="Q263" s="5"/>
      <c r="R263" s="5"/>
      <c r="S263" s="5"/>
      <c r="T263" s="5"/>
      <c r="U263" s="5"/>
      <c r="V263" s="5"/>
      <c r="W263" s="5"/>
      <c r="X263" s="5"/>
      <c r="Y263" s="5"/>
      <c r="Z263" s="5"/>
    </row>
    <row r="264" spans="1:26" ht="12.5" x14ac:dyDescent="0.25">
      <c r="A264" s="5" t="s">
        <v>724</v>
      </c>
      <c r="B264" s="5" t="str">
        <f ca="1">IFERROR(__xludf.DUMMYFUNCTION("AI(""Fill an appropriate value for this cell based on the table context"")"),"characterized by a lack of care, thought, or organization")</f>
        <v>characterized by a lack of care, thought, or organization</v>
      </c>
      <c r="C264" s="5" t="str">
        <f ca="1">IFERROR(__xludf.DUMMYFUNCTION("AI(""Fill an appropriate value for this cell based on the table context"")"),"careless, sloppy, slapdash")</f>
        <v>careless, sloppy, slapdash</v>
      </c>
      <c r="D264" s="5" t="str">
        <f ca="1">IFERROR(__xludf.DUMMYFUNCTION("AI(""Fill an appropriate value for this cell based on the table context"")"),"The professor could tell the slipshod term paper was thrown together the night before the due date.")</f>
        <v>The professor could tell the slipshod term paper was thrown together the night before the due date.</v>
      </c>
      <c r="E264" s="5"/>
      <c r="F264" s="5"/>
      <c r="G264" s="5"/>
      <c r="H264" s="5"/>
      <c r="I264" s="5"/>
      <c r="J264" s="5"/>
      <c r="K264" s="5"/>
      <c r="L264" s="5"/>
      <c r="M264" s="5"/>
      <c r="N264" s="5"/>
      <c r="O264" s="5"/>
      <c r="P264" s="5"/>
      <c r="Q264" s="5"/>
      <c r="R264" s="5"/>
      <c r="S264" s="5"/>
      <c r="T264" s="5"/>
      <c r="U264" s="5"/>
      <c r="V264" s="5"/>
      <c r="W264" s="5"/>
      <c r="X264" s="5"/>
      <c r="Y264" s="5"/>
      <c r="Z264" s="5"/>
    </row>
    <row r="265" spans="1:26" ht="12.5" x14ac:dyDescent="0.25">
      <c r="A265" s="5" t="s">
        <v>725</v>
      </c>
      <c r="B265" s="5" t="str">
        <f ca="1">IFERROR(__xludf.DUMMYFUNCTION("AI(""Fill an appropriate value for this cell based on the table context"")"),"done or made in a hurried and careless way")</f>
        <v>done or made in a hurried and careless way</v>
      </c>
      <c r="C265" s="5" t="str">
        <f ca="1">IFERROR(__xludf.DUMMYFUNCTION("AI(""Fill an appropriate value for this cell based on the table context"")"),"careless, slipshod, haphazard")</f>
        <v>careless, slipshod, haphazard</v>
      </c>
      <c r="D265" s="5" t="str">
        <f ca="1">IFERROR(__xludf.DUMMYFUNCTION("AI(""Fill an appropriate value for this cell based on the table context"")"),"The contractor did a slapdash job on the roof, causing it to leak during the first rainstorm.")</f>
        <v>The contractor did a slapdash job on the roof, causing it to leak during the first rainstorm.</v>
      </c>
      <c r="E265" s="5"/>
      <c r="F265" s="5"/>
      <c r="G265" s="5"/>
      <c r="H265" s="5"/>
      <c r="I265" s="5"/>
      <c r="J265" s="5"/>
      <c r="K265" s="5"/>
      <c r="L265" s="5"/>
      <c r="M265" s="5"/>
      <c r="N265" s="5"/>
      <c r="O265" s="5"/>
      <c r="P265" s="5"/>
      <c r="Q265" s="5"/>
      <c r="R265" s="5"/>
      <c r="S265" s="5"/>
      <c r="T265" s="5"/>
      <c r="U265" s="5"/>
      <c r="V265" s="5"/>
      <c r="W265" s="5"/>
      <c r="X265" s="5"/>
      <c r="Y265" s="5"/>
      <c r="Z265" s="5"/>
    </row>
    <row r="266" spans="1:26" ht="12.5" x14ac:dyDescent="0.25">
      <c r="A266" s="5" t="s">
        <v>726</v>
      </c>
      <c r="B266" s="5" t="str">
        <f ca="1">IFERROR(__xludf.DUMMYFUNCTION("AI(""Fill an appropriate value for this cell based on the table context"")"),"relieving pain or the severity of a disease without curing it")</f>
        <v>relieving pain or the severity of a disease without curing it</v>
      </c>
      <c r="C266" s="5" t="str">
        <f ca="1">IFERROR(__xludf.DUMMYFUNCTION("AI(""Fill an appropriate value for this cell based on the table context"")"),"soothing, calming, anodyne")</f>
        <v>soothing, calming, anodyne</v>
      </c>
      <c r="D266" s="5" t="str">
        <f ca="1">IFERROR(__xludf.DUMMYFUNCTION("AI(""Fill an appropriate value for this cell based on the table context"")"),"The patient received palliative care to manage her symptoms and improve her quality of life.")</f>
        <v>The patient received palliative care to manage her symptoms and improve her quality of life.</v>
      </c>
      <c r="E266" s="5"/>
      <c r="F266" s="5"/>
      <c r="G266" s="5"/>
      <c r="H266" s="5"/>
      <c r="I266" s="5"/>
      <c r="J266" s="5"/>
      <c r="K266" s="5"/>
      <c r="L266" s="5"/>
      <c r="M266" s="5"/>
      <c r="N266" s="5"/>
      <c r="O266" s="5"/>
      <c r="P266" s="5"/>
      <c r="Q266" s="5"/>
      <c r="R266" s="5"/>
      <c r="S266" s="5"/>
      <c r="T266" s="5"/>
      <c r="U266" s="5"/>
      <c r="V266" s="5"/>
      <c r="W266" s="5"/>
      <c r="X266" s="5"/>
      <c r="Y266" s="5"/>
      <c r="Z266" s="5"/>
    </row>
    <row r="267" spans="1:26" ht="12.5" x14ac:dyDescent="0.25">
      <c r="A267" s="5" t="s">
        <v>727</v>
      </c>
      <c r="B267" s="5" t="str">
        <f ca="1">IFERROR(__xludf.DUMMYFUNCTION("AI(""Fill an appropriate value for this cell based on the table context"")"),"capable of relieving pain or distress; unlikely to offend or cause disagreement")</f>
        <v>capable of relieving pain or distress; unlikely to offend or cause disagreement</v>
      </c>
      <c r="C267" s="5" t="str">
        <f ca="1">IFERROR(__xludf.DUMMYFUNCTION("AI(""Fill an appropriate value for this cell based on the table context"")"),"painkiller, analgesic, sedative")</f>
        <v>painkiller, analgesic, sedative</v>
      </c>
      <c r="D267" s="5" t="str">
        <f ca="1">IFERROR(__xludf.DUMMYFUNCTION("AI(""Fill an appropriate value for this cell based on the table context"")"),"The speech was deliberately anodyne to avoid debate.")</f>
        <v>The speech was deliberately anodyne to avoid debate.</v>
      </c>
      <c r="E267" s="5"/>
      <c r="F267" s="5"/>
      <c r="G267" s="5"/>
      <c r="H267" s="5"/>
      <c r="I267" s="5"/>
      <c r="J267" s="5"/>
      <c r="K267" s="5"/>
      <c r="L267" s="5"/>
      <c r="M267" s="5"/>
      <c r="N267" s="5"/>
      <c r="O267" s="5"/>
      <c r="P267" s="5"/>
      <c r="Q267" s="5"/>
      <c r="R267" s="5"/>
      <c r="S267" s="5"/>
      <c r="T267" s="5"/>
      <c r="U267" s="5"/>
      <c r="V267" s="5"/>
      <c r="W267" s="5"/>
      <c r="X267" s="5"/>
      <c r="Y267" s="5"/>
      <c r="Z267" s="5"/>
    </row>
    <row r="268" spans="1:26" ht="12.5" x14ac:dyDescent="0.25">
      <c r="A268" s="5" t="s">
        <v>728</v>
      </c>
      <c r="B268" s="5" t="str">
        <f ca="1">IFERROR(__xludf.DUMMYFUNCTION("AI(""Fill an appropriate value for this cell based on the table context"")"),"relieve or lessen pain without loss of consciousness")</f>
        <v>relieve or lessen pain without loss of consciousness</v>
      </c>
      <c r="C268" s="5" t="str">
        <f ca="1">IFERROR(__xludf.DUMMYFUNCTION("AI(""Fill an appropriate value for this cell based on the table context"")"),"painkiller, anodyne, anesthetic")</f>
        <v>painkiller, anodyne, anesthetic</v>
      </c>
      <c r="D268" s="5" t="str">
        <f ca="1">IFERROR(__xludf.DUMMYFUNCTION("AI(""Fill an appropriate value for this cell based on the table context"")"),"The cream contains a mild analgesic to soothe stings and bites.")</f>
        <v>The cream contains a mild analgesic to soothe stings and bites.</v>
      </c>
      <c r="E268" s="5"/>
      <c r="F268" s="5"/>
      <c r="G268" s="5"/>
      <c r="H268" s="5"/>
      <c r="I268" s="5"/>
      <c r="J268" s="5"/>
      <c r="K268" s="5"/>
      <c r="L268" s="5"/>
      <c r="M268" s="5"/>
      <c r="N268" s="5"/>
      <c r="O268" s="5"/>
      <c r="P268" s="5"/>
      <c r="Q268" s="5"/>
      <c r="R268" s="5"/>
      <c r="S268" s="5"/>
      <c r="T268" s="5"/>
      <c r="U268" s="5"/>
      <c r="V268" s="5"/>
      <c r="W268" s="5"/>
      <c r="X268" s="5"/>
      <c r="Y268" s="5"/>
      <c r="Z268" s="5"/>
    </row>
    <row r="269" spans="1:26" ht="12.5" x14ac:dyDescent="0.25">
      <c r="A269" s="5" t="s">
        <v>729</v>
      </c>
      <c r="B269" s="5" t="str">
        <f ca="1">IFERROR(__xludf.DUMMYFUNCTION("AI(""Fill an appropriate value for this cell based on the table context"")"),"criticize someone or something in a way that shows a lack of respect or importance")</f>
        <v>criticize someone or something in a way that shows a lack of respect or importance</v>
      </c>
      <c r="C269" s="5" t="str">
        <f ca="1">IFERROR(__xludf.DUMMYFUNCTION("AI(""Fill an appropriate value for this cell based on the table context"")"),"belittle, decry, denigrate")</f>
        <v>belittle, decry, denigrate</v>
      </c>
      <c r="D269" s="5" t="str">
        <f ca="1">IFERROR(__xludf.DUMMYFUNCTION("AI(""Fill an appropriate value for this cell based on the table context"")"),"The politician began to disparage his opponent's achievements during the debate.")</f>
        <v>The politician began to disparage his opponent's achievements during the debate.</v>
      </c>
      <c r="E269" s="5"/>
      <c r="F269" s="5"/>
      <c r="G269" s="5"/>
      <c r="H269" s="5"/>
      <c r="I269" s="5"/>
      <c r="J269" s="5"/>
      <c r="K269" s="5"/>
      <c r="L269" s="5"/>
      <c r="M269" s="5"/>
      <c r="N269" s="5"/>
      <c r="O269" s="5"/>
      <c r="P269" s="5"/>
      <c r="Q269" s="5"/>
      <c r="R269" s="5"/>
      <c r="S269" s="5"/>
      <c r="T269" s="5"/>
      <c r="U269" s="5"/>
      <c r="V269" s="5"/>
      <c r="W269" s="5"/>
      <c r="X269" s="5"/>
      <c r="Y269" s="5"/>
      <c r="Z269" s="5"/>
    </row>
    <row r="270" spans="1:26" ht="25" x14ac:dyDescent="0.25">
      <c r="A270" s="5" t="s">
        <v>730</v>
      </c>
      <c r="B270" s="5" t="str">
        <f ca="1">IFERROR(__xludf.DUMMYFUNCTION("AI(""Fill an appropriate value for this cell based on the table context"")"),"a personality trait characterized by a tendency to experience negative emotions, such as anxiety, depression, and emotional instability")</f>
        <v>a personality trait characterized by a tendency to experience negative emotions, such as anxiety, depression, and emotional instability</v>
      </c>
      <c r="C270" s="5" t="str">
        <f ca="1">IFERROR(__xludf.DUMMYFUNCTION("AI(""Fill an appropriate value for this cell based on the table context"")"),"nervousness, instability, neurosis")</f>
        <v>nervousness, instability, neurosis</v>
      </c>
      <c r="D270" s="5" t="str">
        <f ca="1">IFERROR(__xludf.DUMMYFUNCTION("AI(""Fill an appropriate value for this cell based on the table context"")"),"Her high level of neuroticism caused her to worry constantly about minor setbacks.")</f>
        <v>Her high level of neuroticism caused her to worry constantly about minor setbacks.</v>
      </c>
      <c r="E270" s="5"/>
      <c r="F270" s="5"/>
      <c r="G270" s="5"/>
      <c r="H270" s="5"/>
      <c r="I270" s="5"/>
      <c r="J270" s="5"/>
      <c r="K270" s="5"/>
      <c r="L270" s="5"/>
      <c r="M270" s="5"/>
      <c r="N270" s="5"/>
      <c r="O270" s="5"/>
      <c r="P270" s="5"/>
      <c r="Q270" s="5"/>
      <c r="R270" s="5"/>
      <c r="S270" s="5"/>
      <c r="T270" s="5"/>
      <c r="U270" s="5"/>
      <c r="V270" s="5"/>
      <c r="W270" s="5"/>
      <c r="X270" s="5"/>
      <c r="Y270" s="5"/>
      <c r="Z270" s="5"/>
    </row>
    <row r="271" spans="1:26" ht="12.5" x14ac:dyDescent="0.25">
      <c r="A271" s="5" t="s">
        <v>731</v>
      </c>
      <c r="B271" s="5" t="str">
        <f ca="1">IFERROR(__xludf.DUMMYFUNCTION("AI(""Fill an appropriate value for this cell based on the table context"")"),"the likely outcome or course of a disease or situation")</f>
        <v>the likely outcome or course of a disease or situation</v>
      </c>
      <c r="C271" s="5" t="str">
        <f ca="1">IFERROR(__xludf.DUMMYFUNCTION("AI(""Fill an appropriate value for this cell based on the table context"")"),"forecast, prediction, prophecy")</f>
        <v>forecast, prediction, prophecy</v>
      </c>
      <c r="D271" s="5" t="str">
        <f ca="1">IFERROR(__xludf.DUMMYFUNCTION("AI(""Fill an appropriate value for this cell based on the table context"")"),"The doctor gave a positive prognosis for the patient's recovery after surgery.")</f>
        <v>The doctor gave a positive prognosis for the patient's recovery after surgery.</v>
      </c>
      <c r="E271" s="5"/>
      <c r="F271" s="5"/>
      <c r="G271" s="5"/>
      <c r="H271" s="5"/>
      <c r="I271" s="5"/>
      <c r="J271" s="5"/>
      <c r="K271" s="5"/>
      <c r="L271" s="5"/>
      <c r="M271" s="5"/>
      <c r="N271" s="5"/>
      <c r="O271" s="5"/>
      <c r="P271" s="5"/>
      <c r="Q271" s="5"/>
      <c r="R271" s="5"/>
      <c r="S271" s="5"/>
      <c r="T271" s="5"/>
      <c r="U271" s="5"/>
      <c r="V271" s="5"/>
      <c r="W271" s="5"/>
      <c r="X271" s="5"/>
      <c r="Y271" s="5"/>
      <c r="Z271" s="5"/>
    </row>
    <row r="272" spans="1:26" ht="25" x14ac:dyDescent="0.25">
      <c r="A272" s="5" t="s">
        <v>732</v>
      </c>
      <c r="B272" s="5" t="str">
        <f ca="1">IFERROR(__xludf.DUMMYFUNCTION("AI(""Fill an appropriate value for this cell based on the table context"")"),"the action or process of developing and unfolding as if coming into flower; blossoming or culminating")</f>
        <v>the action or process of developing and unfolding as if coming into flower; blossoming or culminating</v>
      </c>
      <c r="C272" s="5" t="str">
        <f ca="1">IFERROR(__xludf.DUMMYFUNCTION("AI(""Fill an appropriate value for this cell based on the table context"")"),"flowering, blooming, blossoming")</f>
        <v>flowering, blooming, blossoming</v>
      </c>
      <c r="D272" s="5" t="str">
        <f ca="1">IFERROR(__xludf.DUMMYFUNCTION("AI(""Fill an appropriate value for this cell based on the table context"")"),"The trees around it have gone generic green, with no hint of their springtime efflorescence.")</f>
        <v>The trees around it have gone generic green, with no hint of their springtime efflorescence.</v>
      </c>
      <c r="E272" s="5"/>
      <c r="F272" s="5"/>
      <c r="G272" s="5"/>
      <c r="H272" s="5"/>
      <c r="I272" s="5"/>
      <c r="J272" s="5"/>
      <c r="K272" s="5"/>
      <c r="L272" s="5"/>
      <c r="M272" s="5"/>
      <c r="N272" s="5"/>
      <c r="O272" s="5"/>
      <c r="P272" s="5"/>
      <c r="Q272" s="5"/>
      <c r="R272" s="5"/>
      <c r="S272" s="5"/>
      <c r="T272" s="5"/>
      <c r="U272" s="5"/>
      <c r="V272" s="5"/>
      <c r="W272" s="5"/>
      <c r="X272" s="5"/>
      <c r="Y272" s="5"/>
      <c r="Z272" s="5"/>
    </row>
    <row r="273" spans="1:26" ht="12.5" x14ac:dyDescent="0.25">
      <c r="A273" s="5" t="s">
        <v>733</v>
      </c>
      <c r="B273" s="5" t="str">
        <f ca="1">IFERROR(__xludf.DUMMYFUNCTION("AI(""Fill an appropriate value for this cell based on the table context"")"),"still in existence; surviving")</f>
        <v>still in existence; surviving</v>
      </c>
      <c r="C273" s="5" t="str">
        <f ca="1">IFERROR(__xludf.DUMMYFUNCTION("AI(""Fill an appropriate value for this cell based on the table context"")"),"existing, surviving, remaining")</f>
        <v>existing, surviving, remaining</v>
      </c>
      <c r="D273" s="5" t="str">
        <f ca="1">IFERROR(__xludf.DUMMYFUNCTION("AI(""Fill an appropriate value for this cell based on the table context"")"),"There are only three extant copies of the document.")</f>
        <v>There are only three extant copies of the document.</v>
      </c>
      <c r="E273" s="5"/>
      <c r="F273" s="5"/>
      <c r="G273" s="5"/>
      <c r="H273" s="5"/>
      <c r="I273" s="5"/>
      <c r="J273" s="5"/>
      <c r="K273" s="5"/>
      <c r="L273" s="5"/>
      <c r="M273" s="5"/>
      <c r="N273" s="5"/>
      <c r="O273" s="5"/>
      <c r="P273" s="5"/>
      <c r="Q273" s="5"/>
      <c r="R273" s="5"/>
      <c r="S273" s="5"/>
      <c r="T273" s="5"/>
      <c r="U273" s="5"/>
      <c r="V273" s="5"/>
      <c r="W273" s="5"/>
      <c r="X273" s="5"/>
      <c r="Y273" s="5"/>
      <c r="Z273" s="5"/>
    </row>
    <row r="274" spans="1:26" ht="12.5" x14ac:dyDescent="0.25">
      <c r="A274" s="5" t="s">
        <v>734</v>
      </c>
      <c r="B274" s="5" t="str">
        <f ca="1">IFERROR(__xludf.DUMMYFUNCTION("AI(""Fill an appropriate value for this cell based on the table context"")"),"energy, style, and enthusiastic confidence")</f>
        <v>energy, style, and enthusiastic confidence</v>
      </c>
      <c r="C274" s="5" t="str">
        <f ca="1">IFERROR(__xludf.DUMMYFUNCTION("AI(""Fill an appropriate value for this cell based on the table context"")"),"verve, panache, dash")</f>
        <v>verve, panache, dash</v>
      </c>
      <c r="D274" s="5" t="str">
        <f ca="1">IFERROR(__xludf.DUMMYFUNCTION("AI(""Fill an appropriate value for this cell based on the table context"")"),"The dancer moved with such elan that everyone in the audience was captivated.")</f>
        <v>The dancer moved with such elan that everyone in the audience was captivated.</v>
      </c>
      <c r="E274" s="5"/>
      <c r="F274" s="5"/>
      <c r="G274" s="5"/>
      <c r="H274" s="5"/>
      <c r="I274" s="5"/>
      <c r="J274" s="5"/>
      <c r="K274" s="5"/>
      <c r="L274" s="5"/>
      <c r="M274" s="5"/>
      <c r="N274" s="5"/>
      <c r="O274" s="5"/>
      <c r="P274" s="5"/>
      <c r="Q274" s="5"/>
      <c r="R274" s="5"/>
      <c r="S274" s="5"/>
      <c r="T274" s="5"/>
      <c r="U274" s="5"/>
      <c r="V274" s="5"/>
      <c r="W274" s="5"/>
      <c r="X274" s="5"/>
      <c r="Y274" s="5"/>
      <c r="Z274" s="5"/>
    </row>
    <row r="275" spans="1:26" ht="12.5" x14ac:dyDescent="0.25">
      <c r="A275" s="5" t="s">
        <v>735</v>
      </c>
      <c r="B275" s="5" t="str">
        <f ca="1">IFERROR(__xludf.DUMMYFUNCTION("AI(""Fill an appropriate value for this cell based on the table context"")"),"unable to stay still, or unwilling to be controlled")</f>
        <v>unable to stay still, or unwilling to be controlled</v>
      </c>
      <c r="C275" s="5" t="str">
        <f ca="1">IFERROR(__xludf.DUMMYFUNCTION("AI(""Fill an appropriate value for this cell based on the table context"")"),"restless, edgy, fidgety")</f>
        <v>restless, edgy, fidgety</v>
      </c>
      <c r="D275" s="5" t="str">
        <f ca="1">IFERROR(__xludf.DUMMYFUNCTION("AI(""Fill an appropriate value for this cell based on the table context"")"),"The crowd grew restive as the hour-long delay continued.")</f>
        <v>The crowd grew restive as the hour-long delay continued.</v>
      </c>
      <c r="E275" s="5"/>
      <c r="F275" s="5"/>
      <c r="G275" s="5"/>
      <c r="H275" s="5"/>
      <c r="I275" s="5"/>
      <c r="J275" s="5"/>
      <c r="K275" s="5"/>
      <c r="L275" s="5"/>
      <c r="M275" s="5"/>
      <c r="N275" s="5"/>
      <c r="O275" s="5"/>
      <c r="P275" s="5"/>
      <c r="Q275" s="5"/>
      <c r="R275" s="5"/>
      <c r="S275" s="5"/>
      <c r="T275" s="5"/>
      <c r="U275" s="5"/>
      <c r="V275" s="5"/>
      <c r="W275" s="5"/>
      <c r="X275" s="5"/>
      <c r="Y275" s="5"/>
      <c r="Z275" s="5"/>
    </row>
    <row r="276" spans="1:26" ht="12.5" x14ac:dyDescent="0.25">
      <c r="A276" s="5" t="s">
        <v>736</v>
      </c>
      <c r="B276" s="5" t="str">
        <f ca="1">IFERROR(__xludf.DUMMYFUNCTION("AI(""Fill an appropriate value for this cell based on the table context"")"),"say or write very harsh and critical things about someone to damage their reputation")</f>
        <v>say or write very harsh and critical things about someone to damage their reputation</v>
      </c>
      <c r="C276" s="5" t="str">
        <f ca="1">IFERROR(__xludf.DUMMYFUNCTION("AI(""Fill an appropriate value for this cell based on the table context"")"),"defame, malign, slander")</f>
        <v>defame, malign, slander</v>
      </c>
      <c r="D276" s="5" t="str">
        <f ca="1">IFERROR(__xludf.DUMMYFUNCTION("AI(""Fill an appropriate value for this cell based on the table context"")"),"He was vilified in the press for his comments.")</f>
        <v>He was vilified in the press for his comments.</v>
      </c>
      <c r="E276" s="5"/>
      <c r="F276" s="5"/>
      <c r="G276" s="5"/>
      <c r="H276" s="5"/>
      <c r="I276" s="5"/>
      <c r="J276" s="5"/>
      <c r="K276" s="5"/>
      <c r="L276" s="5"/>
      <c r="M276" s="5"/>
      <c r="N276" s="5"/>
      <c r="O276" s="5"/>
      <c r="P276" s="5"/>
      <c r="Q276" s="5"/>
      <c r="R276" s="5"/>
      <c r="S276" s="5"/>
      <c r="T276" s="5"/>
      <c r="U276" s="5"/>
      <c r="V276" s="5"/>
      <c r="W276" s="5"/>
      <c r="X276" s="5"/>
      <c r="Y276" s="5"/>
      <c r="Z276" s="5"/>
    </row>
    <row r="277" spans="1:26" ht="12.5" x14ac:dyDescent="0.25">
      <c r="A277" s="5" t="s">
        <v>737</v>
      </c>
      <c r="B277" s="5" t="str">
        <f ca="1">IFERROR(__xludf.DUMMYFUNCTION("AI(""Fill an appropriate value for this cell based on the table context"")"),"think deeply about something")</f>
        <v>think deeply about something</v>
      </c>
      <c r="C277" s="5" t="str">
        <f ca="1">IFERROR(__xludf.DUMMYFUNCTION("AI(""Fill an appropriate value for this cell based on the table context"")"),"deliberate, reason, reflect")</f>
        <v>deliberate, reason, reflect</v>
      </c>
      <c r="D277" s="5" t="str">
        <f ca="1">IFERROR(__xludf.DUMMYFUNCTION("AI(""Fill an appropriate value for this cell based on the table context"")"),"He sat silently by the fire, cogitating on the complex problems he needed to solve before morning.")</f>
        <v>He sat silently by the fire, cogitating on the complex problems he needed to solve before morning.</v>
      </c>
      <c r="E277" s="5"/>
      <c r="F277" s="5"/>
      <c r="G277" s="5"/>
      <c r="H277" s="5"/>
      <c r="I277" s="5"/>
      <c r="J277" s="5"/>
      <c r="K277" s="5"/>
      <c r="L277" s="5"/>
      <c r="M277" s="5"/>
      <c r="N277" s="5"/>
      <c r="O277" s="5"/>
      <c r="P277" s="5"/>
      <c r="Q277" s="5"/>
      <c r="R277" s="5"/>
      <c r="S277" s="5"/>
      <c r="T277" s="5"/>
      <c r="U277" s="5"/>
      <c r="V277" s="5"/>
      <c r="W277" s="5"/>
      <c r="X277" s="5"/>
      <c r="Y277" s="5"/>
      <c r="Z277" s="5"/>
    </row>
    <row r="278" spans="1:26" ht="25" x14ac:dyDescent="0.25">
      <c r="A278" s="5" t="s">
        <v>738</v>
      </c>
      <c r="B278" s="5" t="str">
        <f ca="1">IFERROR(__xludf.DUMMYFUNCTION("AI(""Fill an appropriate value for this cell based on the table context"")"),"the quality of refusing to change your mind, or of being difficult to change")</f>
        <v>the quality of refusing to change your mind, or of being difficult to change</v>
      </c>
      <c r="C278" s="5" t="str">
        <f ca="1">IFERROR(__xludf.DUMMYFUNCTION("AI(""Fill an appropriate value for this cell based on the table context"")"),"stubbornness, obstinacy, intransigence")</f>
        <v>stubbornness, obstinacy, intransigence</v>
      </c>
      <c r="D278" s="5" t="str">
        <f ca="1">IFERROR(__xludf.DUMMYFUNCTION("AI(""Fill an appropriate value for this cell based on the table context"")"),"The government's obduracy in the face of peaceful protests led to a political crisis.")</f>
        <v>The government's obduracy in the face of peaceful protests led to a political crisis.</v>
      </c>
      <c r="E278" s="5"/>
      <c r="F278" s="5"/>
      <c r="G278" s="5"/>
      <c r="H278" s="5"/>
      <c r="I278" s="5"/>
      <c r="J278" s="5"/>
      <c r="K278" s="5"/>
      <c r="L278" s="5"/>
      <c r="M278" s="5"/>
      <c r="N278" s="5"/>
      <c r="O278" s="5"/>
      <c r="P278" s="5"/>
      <c r="Q278" s="5"/>
      <c r="R278" s="5"/>
      <c r="S278" s="5"/>
      <c r="T278" s="5"/>
      <c r="U278" s="5"/>
      <c r="V278" s="5"/>
      <c r="W278" s="5"/>
      <c r="X278" s="5"/>
      <c r="Y278" s="5"/>
      <c r="Z278" s="5"/>
    </row>
    <row r="279" spans="1:26" ht="12.5" x14ac:dyDescent="0.25">
      <c r="A279" s="5" t="s">
        <v>739</v>
      </c>
      <c r="B279" s="5" t="str">
        <f ca="1">IFERROR(__xludf.DUMMYFUNCTION("AI(""Fill an appropriate value for this cell based on the table context"")"),"an unexpected and unpredictable change")</f>
        <v>an unexpected and unpredictable change</v>
      </c>
      <c r="C279" s="5" t="str">
        <f ca="1">IFERROR(__xludf.DUMMYFUNCTION("AI(""Fill an appropriate value for this cell based on the table context"")"),"whim, caprice, quirk")</f>
        <v>whim, caprice, quirk</v>
      </c>
      <c r="D279" s="5" t="str">
        <f ca="1">IFERROR(__xludf.DUMMYFUNCTION("AI(""Fill an appropriate value for this cell based on the table context"")"),"The vagaries of the weather made it difficult to plan the outdoor wedding.")</f>
        <v>The vagaries of the weather made it difficult to plan the outdoor wedding.</v>
      </c>
      <c r="E279" s="5"/>
      <c r="F279" s="5"/>
      <c r="G279" s="5"/>
      <c r="H279" s="5"/>
      <c r="I279" s="5"/>
      <c r="J279" s="5"/>
      <c r="K279" s="5"/>
      <c r="L279" s="5"/>
      <c r="M279" s="5"/>
      <c r="N279" s="5"/>
      <c r="O279" s="5"/>
      <c r="P279" s="5"/>
      <c r="Q279" s="5"/>
      <c r="R279" s="5"/>
      <c r="S279" s="5"/>
      <c r="T279" s="5"/>
      <c r="U279" s="5"/>
      <c r="V279" s="5"/>
      <c r="W279" s="5"/>
      <c r="X279" s="5"/>
      <c r="Y279" s="5"/>
      <c r="Z279" s="5"/>
    </row>
    <row r="280" spans="1:26" ht="12.5" x14ac:dyDescent="0.25">
      <c r="A280" s="5" t="s">
        <v>740</v>
      </c>
      <c r="B280" s="5" t="str">
        <f ca="1">IFERROR(__xludf.DUMMYFUNCTION("AI(""Fill an appropriate value for this cell based on the table context"")"),"behavior or speech that is not natural or sincere and is intended to impress others")</f>
        <v>behavior or speech that is not natural or sincere and is intended to impress others</v>
      </c>
      <c r="C280" s="5" t="str">
        <f ca="1">IFERROR(__xludf.DUMMYFUNCTION("AI(""Fill an appropriate value for this cell based on the table context"")"),"pretension, pretense, facade")</f>
        <v>pretension, pretense, facade</v>
      </c>
      <c r="D280" s="5" t="str">
        <f ca="1">IFERROR(__xludf.DUMMYFUNCTION("AI(""Fill an appropriate value for this cell based on the table context"")"),"Her upper-class accent was a deliberate affectation designed to impress her new colleagues.")</f>
        <v>Her upper-class accent was a deliberate affectation designed to impress her new colleagues.</v>
      </c>
      <c r="E280" s="5"/>
      <c r="F280" s="5"/>
      <c r="G280" s="5"/>
      <c r="H280" s="5"/>
      <c r="I280" s="5"/>
      <c r="J280" s="5"/>
      <c r="K280" s="5"/>
      <c r="L280" s="5"/>
      <c r="M280" s="5"/>
      <c r="N280" s="5"/>
      <c r="O280" s="5"/>
      <c r="P280" s="5"/>
      <c r="Q280" s="5"/>
      <c r="R280" s="5"/>
      <c r="S280" s="5"/>
      <c r="T280" s="5"/>
      <c r="U280" s="5"/>
      <c r="V280" s="5"/>
      <c r="W280" s="5"/>
      <c r="X280" s="5"/>
      <c r="Y280" s="5"/>
      <c r="Z280" s="5"/>
    </row>
    <row r="281" spans="1:26" ht="12.5" x14ac:dyDescent="0.25">
      <c r="A281" s="5" t="s">
        <v>741</v>
      </c>
      <c r="B281" s="5" t="str">
        <f ca="1">IFERROR(__xludf.DUMMYFUNCTION("AI(""Fill an appropriate value for this cell based on the table context"")"),"to support, strengthen, or reinforce something")</f>
        <v>to support, strengthen, or reinforce something</v>
      </c>
      <c r="C281" s="5" t="str">
        <f ca="1">IFERROR(__xludf.DUMMYFUNCTION("AI(""Fill an appropriate value for this cell based on the table context"")"),"reinforce, bolster, shore up")</f>
        <v>reinforce, bolster, shore up</v>
      </c>
      <c r="D281" s="5" t="str">
        <f ca="1">IFERROR(__xludf.DUMMYFUNCTION("AI(""Fill an appropriate value for this cell based on the table context"")"),"The professor used recent data to buttress his argument during the debate.")</f>
        <v>The professor used recent data to buttress his argument during the debate.</v>
      </c>
      <c r="E281" s="5"/>
      <c r="F281" s="5"/>
      <c r="G281" s="5"/>
      <c r="H281" s="5"/>
      <c r="I281" s="5"/>
      <c r="J281" s="5"/>
      <c r="K281" s="5"/>
      <c r="L281" s="5"/>
      <c r="M281" s="5"/>
      <c r="N281" s="5"/>
      <c r="O281" s="5"/>
      <c r="P281" s="5"/>
      <c r="Q281" s="5"/>
      <c r="R281" s="5"/>
      <c r="S281" s="5"/>
      <c r="T281" s="5"/>
      <c r="U281" s="5"/>
      <c r="V281" s="5"/>
      <c r="W281" s="5"/>
      <c r="X281" s="5"/>
      <c r="Y281" s="5"/>
      <c r="Z281" s="5"/>
    </row>
    <row r="282" spans="1:26" ht="25" x14ac:dyDescent="0.25">
      <c r="A282" s="5" t="s">
        <v>742</v>
      </c>
      <c r="B282" s="5" t="str">
        <f ca="1">IFERROR(__xludf.DUMMYFUNCTION("AI(""Fill an appropriate value for this cell based on the table context"")"),"believing in the superiority of one's own gender, group, or country")</f>
        <v>believing in the superiority of one's own gender, group, or country</v>
      </c>
      <c r="C282" s="5" t="str">
        <f ca="1">IFERROR(__xludf.DUMMYFUNCTION("AI(""Fill an appropriate value for this cell based on the table context"")"),"jingoistic, nationalistic, superpatriotic")</f>
        <v>jingoistic, nationalistic, superpatriotic</v>
      </c>
      <c r="D282" s="5" t="str">
        <f ca="1">IFERROR(__xludf.DUMMYFUNCTION("AI(""Fill an appropriate value for this cell based on the table context"")"),"The company's hiring practices were criticized for being chauvinistic, as they consistently passed over qualified female candidates for leadership roles.")</f>
        <v>The company's hiring practices were criticized for being chauvinistic, as they consistently passed over qualified female candidates for leadership roles.</v>
      </c>
      <c r="E282" s="5"/>
      <c r="F282" s="5"/>
      <c r="G282" s="5"/>
      <c r="H282" s="5"/>
      <c r="I282" s="5"/>
      <c r="J282" s="5"/>
      <c r="K282" s="5"/>
      <c r="L282" s="5"/>
      <c r="M282" s="5"/>
      <c r="N282" s="5"/>
      <c r="O282" s="5"/>
      <c r="P282" s="5"/>
      <c r="Q282" s="5"/>
      <c r="R282" s="5"/>
      <c r="S282" s="5"/>
      <c r="T282" s="5"/>
      <c r="U282" s="5"/>
      <c r="V282" s="5"/>
      <c r="W282" s="5"/>
      <c r="X282" s="5"/>
      <c r="Y282" s="5"/>
      <c r="Z282" s="5"/>
    </row>
    <row r="283" spans="1:26" ht="12.5" x14ac:dyDescent="0.25">
      <c r="A283" s="5" t="s">
        <v>743</v>
      </c>
      <c r="B283" s="5" t="str">
        <f ca="1">IFERROR(__xludf.DUMMYFUNCTION("AI(""Fill an appropriate value for this cell based on the table context"")"),"characterized by extreme, aggressive nationalism or patriotism")</f>
        <v>characterized by extreme, aggressive nationalism or patriotism</v>
      </c>
      <c r="C283" s="5" t="str">
        <f ca="1">IFERROR(__xludf.DUMMYFUNCTION("AI(""Fill an appropriate value for this cell based on the table context"")"),"chauvinistic, nationalistic, flag-waving")</f>
        <v>chauvinistic, nationalistic, flag-waving</v>
      </c>
      <c r="D283" s="5" t="str">
        <f ca="1">IFERROR(__xludf.DUMMYFUNCTION("AI(""Fill an appropriate value for this cell based on the table context"")"),"A lot of the war movies were very jingoistic.")</f>
        <v>A lot of the war movies were very jingoistic.</v>
      </c>
      <c r="E283" s="5"/>
      <c r="F283" s="5"/>
      <c r="G283" s="5"/>
      <c r="H283" s="5"/>
      <c r="I283" s="5"/>
      <c r="J283" s="5"/>
      <c r="K283" s="5"/>
      <c r="L283" s="5"/>
      <c r="M283" s="5"/>
      <c r="N283" s="5"/>
      <c r="O283" s="5"/>
      <c r="P283" s="5"/>
      <c r="Q283" s="5"/>
      <c r="R283" s="5"/>
      <c r="S283" s="5"/>
      <c r="T283" s="5"/>
      <c r="U283" s="5"/>
      <c r="V283" s="5"/>
      <c r="W283" s="5"/>
      <c r="X283" s="5"/>
      <c r="Y283" s="5"/>
      <c r="Z283" s="5"/>
    </row>
    <row r="284" spans="1:26" ht="25" x14ac:dyDescent="0.25">
      <c r="A284" s="5" t="s">
        <v>744</v>
      </c>
      <c r="B284" s="5" t="str">
        <f ca="1">IFERROR(__xludf.DUMMYFUNCTION("AI(""Fill an appropriate value for this cell based on the table context"")"),"a person who is extremely skilled at something, especially at playing an instrument or performing")</f>
        <v>a person who is extremely skilled at something, especially at playing an instrument or performing</v>
      </c>
      <c r="C284" s="5" t="str">
        <f ca="1">IFERROR(__xludf.DUMMYFUNCTION("AI(""Fill an appropriate value for this cell based on the table context"")"),"maestro, expert, genius")</f>
        <v>maestro, expert, genius</v>
      </c>
      <c r="D284" s="5" t="str">
        <f ca="1">IFERROR(__xludf.DUMMYFUNCTION("AI(""Fill an appropriate value for this cell based on the table context"")"),"Franz Liszt was widely regarded as the greatest piano virtuoso of his time.")</f>
        <v>Franz Liszt was widely regarded as the greatest piano virtuoso of his time.</v>
      </c>
      <c r="E284" s="5"/>
      <c r="F284" s="5"/>
      <c r="G284" s="5"/>
      <c r="H284" s="5"/>
      <c r="I284" s="5"/>
      <c r="J284" s="5"/>
      <c r="K284" s="5"/>
      <c r="L284" s="5"/>
      <c r="M284" s="5"/>
      <c r="N284" s="5"/>
      <c r="O284" s="5"/>
      <c r="P284" s="5"/>
      <c r="Q284" s="5"/>
      <c r="R284" s="5"/>
      <c r="S284" s="5"/>
      <c r="T284" s="5"/>
      <c r="U284" s="5"/>
      <c r="V284" s="5"/>
      <c r="W284" s="5"/>
      <c r="X284" s="5"/>
      <c r="Y284" s="5"/>
      <c r="Z284" s="5"/>
    </row>
    <row r="285" spans="1:26" ht="12.5" x14ac:dyDescent="0.25">
      <c r="A285" s="5" t="s">
        <v>745</v>
      </c>
      <c r="B285" s="5" t="str">
        <f ca="1">IFERROR(__xludf.DUMMYFUNCTION("AI(""Fill an appropriate value for this cell based on the table context"")"),"hide one's true feelings, intentions, or motives behind a false appearance")</f>
        <v>hide one's true feelings, intentions, or motives behind a false appearance</v>
      </c>
      <c r="C285" s="5" t="str">
        <f ca="1">IFERROR(__xludf.DUMMYFUNCTION("AI(""Fill an appropriate value for this cell based on the table context"")"),"conceal, disguise, feign")</f>
        <v>conceal, disguise, feign</v>
      </c>
      <c r="D285" s="5" t="str">
        <f ca="1">IFERROR(__xludf.DUMMYFUNCTION("AI(""Fill an appropriate value for this cell based on the table context"")"),"The politician found it necessary to dissemble his true intentions to win the support of both parties.")</f>
        <v>The politician found it necessary to dissemble his true intentions to win the support of both parties.</v>
      </c>
      <c r="E285" s="5"/>
      <c r="F285" s="5"/>
      <c r="G285" s="5"/>
      <c r="H285" s="5"/>
      <c r="I285" s="5"/>
      <c r="J285" s="5"/>
      <c r="K285" s="5"/>
      <c r="L285" s="5"/>
      <c r="M285" s="5"/>
      <c r="N285" s="5"/>
      <c r="O285" s="5"/>
      <c r="P285" s="5"/>
      <c r="Q285" s="5"/>
      <c r="R285" s="5"/>
      <c r="S285" s="5"/>
      <c r="T285" s="5"/>
      <c r="U285" s="5"/>
      <c r="V285" s="5"/>
      <c r="W285" s="5"/>
      <c r="X285" s="5"/>
      <c r="Y285" s="5"/>
      <c r="Z285" s="5"/>
    </row>
    <row r="286" spans="1:26" ht="12.5" x14ac:dyDescent="0.25">
      <c r="A286" s="5" t="s">
        <v>746</v>
      </c>
      <c r="B286" s="5" t="str">
        <f ca="1">IFERROR(__xludf.DUMMYFUNCTION("AI(""Fill an appropriate value for this cell based on the table context"")"),"cause or give rise to a feeling or situation")</f>
        <v>cause or give rise to a feeling or situation</v>
      </c>
      <c r="C286" s="5" t="str">
        <f ca="1">IFERROR(__xludf.DUMMYFUNCTION("AI(""Fill an appropriate value for this cell based on the table context"")"),"produce, create, generate")</f>
        <v>produce, create, generate</v>
      </c>
      <c r="D286" s="5" t="str">
        <f ca="1">IFERROR(__xludf.DUMMYFUNCTION("AI(""Fill an appropriate value for this cell based on the table context"")"),"The new policy is expected to engender a sense of hope among the employees.")</f>
        <v>The new policy is expected to engender a sense of hope among the employees.</v>
      </c>
      <c r="E286" s="5"/>
      <c r="F286" s="5"/>
      <c r="G286" s="5"/>
      <c r="H286" s="5"/>
      <c r="I286" s="5"/>
      <c r="J286" s="5"/>
      <c r="K286" s="5"/>
      <c r="L286" s="5"/>
      <c r="M286" s="5"/>
      <c r="N286" s="5"/>
      <c r="O286" s="5"/>
      <c r="P286" s="5"/>
      <c r="Q286" s="5"/>
      <c r="R286" s="5"/>
      <c r="S286" s="5"/>
      <c r="T286" s="5"/>
      <c r="U286" s="5"/>
      <c r="V286" s="5"/>
      <c r="W286" s="5"/>
      <c r="X286" s="5"/>
      <c r="Y286" s="5"/>
      <c r="Z286" s="5"/>
    </row>
    <row r="287" spans="1:26" ht="12.5" x14ac:dyDescent="0.25">
      <c r="A287" s="5" t="s">
        <v>747</v>
      </c>
      <c r="B287" s="5" t="str">
        <f ca="1">IFERROR(__xludf.DUMMYFUNCTION("AI(""Fill an appropriate value for this cell based on the table context"")"),"holding firmly to an opinion or course of action; stubbornly persistent")</f>
        <v>holding firmly to an opinion or course of action; stubbornly persistent</v>
      </c>
      <c r="C287" s="5" t="str">
        <f ca="1">IFERROR(__xludf.DUMMYFUNCTION("AI(""Fill an appropriate value for this cell based on the table context"")"),"dogged, mulish, obstinate")</f>
        <v>dogged, mulish, obstinate</v>
      </c>
      <c r="D287" s="5" t="str">
        <f ca="1">IFERROR(__xludf.DUMMYFUNCTION("AI(""Fill an appropriate value for this cell based on the table context"")"),"Like most successful politicians, she is pertinacious and single-minded in the pursuit of her goals.")</f>
        <v>Like most successful politicians, she is pertinacious and single-minded in the pursuit of her goals.</v>
      </c>
      <c r="E287" s="5"/>
      <c r="F287" s="5"/>
      <c r="G287" s="5"/>
      <c r="H287" s="5"/>
      <c r="I287" s="5"/>
      <c r="J287" s="5"/>
      <c r="K287" s="5"/>
      <c r="L287" s="5"/>
      <c r="M287" s="5"/>
      <c r="N287" s="5"/>
      <c r="O287" s="5"/>
      <c r="P287" s="5"/>
      <c r="Q287" s="5"/>
      <c r="R287" s="5"/>
      <c r="S287" s="5"/>
      <c r="T287" s="5"/>
      <c r="U287" s="5"/>
      <c r="V287" s="5"/>
      <c r="W287" s="5"/>
      <c r="X287" s="5"/>
      <c r="Y287" s="5"/>
      <c r="Z287" s="5"/>
    </row>
    <row r="288" spans="1:26" ht="12.5" x14ac:dyDescent="0.25">
      <c r="A288" s="5" t="s">
        <v>748</v>
      </c>
      <c r="B288" s="5" t="str">
        <f ca="1">IFERROR(__xludf.DUMMYFUNCTION("AI(""Fill an appropriate value for this cell based on the table context"")"),"unreasonably stubborn, obstinate, or headstrong")</f>
        <v>unreasonably stubborn, obstinate, or headstrong</v>
      </c>
      <c r="C288" s="5" t="str">
        <f ca="1">IFERROR(__xludf.DUMMYFUNCTION("AI(""Fill an appropriate value for this cell based on the table context"")"),"stubborn, obstinate, pigheaded")</f>
        <v>stubborn, obstinate, pigheaded</v>
      </c>
      <c r="D288" s="5" t="str">
        <f ca="1">IFERROR(__xludf.DUMMYFUNCTION("AI(""Fill an appropriate value for this cell based on the table context"")"),"He was generally an easy-going child, but could be mulish when upset.")</f>
        <v>He was generally an easy-going child, but could be mulish when upset.</v>
      </c>
      <c r="E288" s="5"/>
      <c r="F288" s="5"/>
      <c r="G288" s="5"/>
      <c r="H288" s="5"/>
      <c r="I288" s="5"/>
      <c r="J288" s="5"/>
      <c r="K288" s="5"/>
      <c r="L288" s="5"/>
      <c r="M288" s="5"/>
      <c r="N288" s="5"/>
      <c r="O288" s="5"/>
      <c r="P288" s="5"/>
      <c r="Q288" s="5"/>
      <c r="R288" s="5"/>
      <c r="S288" s="5"/>
      <c r="T288" s="5"/>
      <c r="U288" s="5"/>
      <c r="V288" s="5"/>
      <c r="W288" s="5"/>
      <c r="X288" s="5"/>
      <c r="Y288" s="5"/>
      <c r="Z288" s="5"/>
    </row>
    <row r="289" spans="1:26" ht="25" x14ac:dyDescent="0.25">
      <c r="A289" s="5" t="s">
        <v>749</v>
      </c>
      <c r="B289" s="5" t="str">
        <f ca="1">IFERROR(__xludf.DUMMYFUNCTION("AI(""Fill an appropriate value for this cell based on the table context"")"),"excessively bold, forward, or showing a lack of respect by doing things one has no right to do")</f>
        <v>excessively bold, forward, or showing a lack of respect by doing things one has no right to do</v>
      </c>
      <c r="C289" s="5" t="str">
        <f ca="1">IFERROR(__xludf.DUMMYFUNCTION("AI(""Fill an appropriate value for this cell based on the table context"")"),"arrogant, audacious, bold")</f>
        <v>arrogant, audacious, bold</v>
      </c>
      <c r="D289" s="5" t="str">
        <f ca="1">IFERROR(__xludf.DUMMYFUNCTION("AI(""Fill an appropriate value for this cell based on the table context"")"),"It was presumptuous of the new intern to try to correct the CEO's presentation.")</f>
        <v>It was presumptuous of the new intern to try to correct the CEO's presentation.</v>
      </c>
      <c r="E289" s="5"/>
      <c r="F289" s="5"/>
      <c r="G289" s="5"/>
      <c r="H289" s="5"/>
      <c r="I289" s="5"/>
      <c r="J289" s="5"/>
      <c r="K289" s="5"/>
      <c r="L289" s="5"/>
      <c r="M289" s="5"/>
      <c r="N289" s="5"/>
      <c r="O289" s="5"/>
      <c r="P289" s="5"/>
      <c r="Q289" s="5"/>
      <c r="R289" s="5"/>
      <c r="S289" s="5"/>
      <c r="T289" s="5"/>
      <c r="U289" s="5"/>
      <c r="V289" s="5"/>
      <c r="W289" s="5"/>
      <c r="X289" s="5"/>
      <c r="Y289" s="5"/>
      <c r="Z289" s="5"/>
    </row>
    <row r="290" spans="1:26" ht="12.5" x14ac:dyDescent="0.25">
      <c r="A290" s="5" t="s">
        <v>750</v>
      </c>
      <c r="B290" s="5" t="str">
        <f ca="1">IFERROR(__xludf.DUMMYFUNCTION("AI(""Fill an appropriate value for this cell based on the table context"")"),"complete honesty and integrity")</f>
        <v>complete honesty and integrity</v>
      </c>
      <c r="C290" s="5" t="str">
        <f ca="1">IFERROR(__xludf.DUMMYFUNCTION("AI(""Fill an appropriate value for this cell based on the table context"")"),"honesty, integrity, rectitude")</f>
        <v>honesty, integrity, rectitude</v>
      </c>
      <c r="D290" s="5" t="str">
        <f ca="1">IFERROR(__xludf.DUMMYFUNCTION("AI(""Fill an appropriate value for this cell based on the table context"")"),"The politician's refusal to accept bribes highlighted his probity and commitment to the public good.")</f>
        <v>The politician's refusal to accept bribes highlighted his probity and commitment to the public good.</v>
      </c>
      <c r="E290" s="5"/>
      <c r="F290" s="5"/>
      <c r="G290" s="5"/>
      <c r="H290" s="5"/>
      <c r="I290" s="5"/>
      <c r="J290" s="5"/>
      <c r="K290" s="5"/>
      <c r="L290" s="5"/>
      <c r="M290" s="5"/>
      <c r="N290" s="5"/>
      <c r="O290" s="5"/>
      <c r="P290" s="5"/>
      <c r="Q290" s="5"/>
      <c r="R290" s="5"/>
      <c r="S290" s="5"/>
      <c r="T290" s="5"/>
      <c r="U290" s="5"/>
      <c r="V290" s="5"/>
      <c r="W290" s="5"/>
      <c r="X290" s="5"/>
      <c r="Y290" s="5"/>
      <c r="Z290" s="5"/>
    </row>
    <row r="291" spans="1:26" ht="12.5" x14ac:dyDescent="0.25">
      <c r="A291" s="5" t="s">
        <v>751</v>
      </c>
      <c r="B291" s="5" t="str">
        <f ca="1">IFERROR(__xludf.DUMMYFUNCTION("AI(""Fill an appropriate value for this cell based on the table context"")"),"honesty and correct moral behavior")</f>
        <v>honesty and correct moral behavior</v>
      </c>
      <c r="C291" s="5" t="str">
        <f ca="1">IFERROR(__xludf.DUMMYFUNCTION("AI(""Fill an appropriate value for this cell based on the table context"")"),"integrity, honesty, uprightness")</f>
        <v>integrity, honesty, uprightness</v>
      </c>
      <c r="D291" s="5" t="str">
        <f ca="1">IFERROR(__xludf.DUMMYFUNCTION("AI(""Fill an appropriate value for this cell based on the table context"")"),"The judge was widely respected for his unyielding sense of moral rectitude.")</f>
        <v>The judge was widely respected for his unyielding sense of moral rectitude.</v>
      </c>
      <c r="E291" s="5"/>
      <c r="F291" s="5"/>
      <c r="G291" s="5"/>
      <c r="H291" s="5"/>
      <c r="I291" s="5"/>
      <c r="J291" s="5"/>
      <c r="K291" s="5"/>
      <c r="L291" s="5"/>
      <c r="M291" s="5"/>
      <c r="N291" s="5"/>
      <c r="O291" s="5"/>
      <c r="P291" s="5"/>
      <c r="Q291" s="5"/>
      <c r="R291" s="5"/>
      <c r="S291" s="5"/>
      <c r="T291" s="5"/>
      <c r="U291" s="5"/>
      <c r="V291" s="5"/>
      <c r="W291" s="5"/>
      <c r="X291" s="5"/>
      <c r="Y291" s="5"/>
      <c r="Z291" s="5"/>
    </row>
    <row r="292" spans="1:26" ht="12.5" x14ac:dyDescent="0.25">
      <c r="A292" s="5" t="s">
        <v>752</v>
      </c>
      <c r="B292" s="5" t="str">
        <f ca="1">IFERROR(__xludf.DUMMYFUNCTION("AI(""Fill an appropriate value for this cell based on the table context"")"),"to increase rapidly in number or amount")</f>
        <v>to increase rapidly in number or amount</v>
      </c>
      <c r="C292" s="5" t="str">
        <f ca="1">IFERROR(__xludf.DUMMYFUNCTION("AI(""Fill an appropriate value for this cell based on the table context"")"),"multiply, expand, burgeon")</f>
        <v>multiply, expand, burgeon</v>
      </c>
      <c r="D292" s="5" t="str">
        <f ca="1">IFERROR(__xludf.DUMMYFUNCTION("AI(""Fill an appropriate value for this cell based on the table context"")"),"Amusement and theme parks are proliferating across the country.")</f>
        <v>Amusement and theme parks are proliferating across the country.</v>
      </c>
      <c r="E292" s="5"/>
      <c r="F292" s="5"/>
      <c r="G292" s="5"/>
      <c r="H292" s="5"/>
      <c r="I292" s="5"/>
      <c r="J292" s="5"/>
      <c r="K292" s="5"/>
      <c r="L292" s="5"/>
      <c r="M292" s="5"/>
      <c r="N292" s="5"/>
      <c r="O292" s="5"/>
      <c r="P292" s="5"/>
      <c r="Q292" s="5"/>
      <c r="R292" s="5"/>
      <c r="S292" s="5"/>
      <c r="T292" s="5"/>
      <c r="U292" s="5"/>
      <c r="V292" s="5"/>
      <c r="W292" s="5"/>
      <c r="X292" s="5"/>
      <c r="Y292" s="5"/>
      <c r="Z292" s="5"/>
    </row>
    <row r="293" spans="1:26" ht="12.5" x14ac:dyDescent="0.25">
      <c r="A293" s="5" t="s">
        <v>753</v>
      </c>
      <c r="B293" s="5" t="str">
        <f ca="1">IFERROR(__xludf.DUMMYFUNCTION("AI(""Fill an appropriate value for this cell based on the table context"")"),"seeming to be right or true, but really wrong or false")</f>
        <v>seeming to be right or true, but really wrong or false</v>
      </c>
      <c r="C293" s="5" t="str">
        <f ca="1">IFERROR(__xludf.DUMMYFUNCTION("AI(""Fill an appropriate value for this cell based on the table context"")"),"misleading, deceptive, fallacious")</f>
        <v>misleading, deceptive, fallacious</v>
      </c>
      <c r="D293" s="5" t="str">
        <f ca="1">IFERROR(__xludf.DUMMYFUNCTION("AI(""Fill an appropriate value for this cell based on the table context"")"),"The intruder tried to give the authorities a specious excuse regarding his presence in the building.")</f>
        <v>The intruder tried to give the authorities a specious excuse regarding his presence in the building.</v>
      </c>
      <c r="E293" s="5"/>
      <c r="F293" s="5"/>
      <c r="G293" s="5"/>
      <c r="H293" s="5"/>
      <c r="I293" s="5"/>
      <c r="J293" s="5"/>
      <c r="K293" s="5"/>
      <c r="L293" s="5"/>
      <c r="M293" s="5"/>
      <c r="N293" s="5"/>
      <c r="O293" s="5"/>
      <c r="P293" s="5"/>
      <c r="Q293" s="5"/>
      <c r="R293" s="5"/>
      <c r="S293" s="5"/>
      <c r="T293" s="5"/>
      <c r="U293" s="5"/>
      <c r="V293" s="5"/>
      <c r="W293" s="5"/>
      <c r="X293" s="5"/>
      <c r="Y293" s="5"/>
      <c r="Z293" s="5"/>
    </row>
    <row r="294" spans="1:26" ht="12.5" x14ac:dyDescent="0.25">
      <c r="A294" s="5" t="s">
        <v>754</v>
      </c>
      <c r="B294" s="5" t="str">
        <f ca="1">IFERROR(__xludf.DUMMYFUNCTION("AI(""Fill an appropriate value for this cell based on the table context"")"),"based on a mistaken belief or faulty reasoning")</f>
        <v>based on a mistaken belief or faulty reasoning</v>
      </c>
      <c r="C294" s="5" t="str">
        <f ca="1">IFERROR(__xludf.DUMMYFUNCTION("AI(""Fill an appropriate value for this cell based on the table context"")"),"misleading, deceptive, false")</f>
        <v>misleading, deceptive, false</v>
      </c>
      <c r="D294" s="5" t="str">
        <f ca="1">IFERROR(__xludf.DUMMYFUNCTION("AI(""Fill an appropriate value for this cell based on the table context"")"),"His argument is based on fallacious reasoning.")</f>
        <v>His argument is based on fallacious reasoning.</v>
      </c>
      <c r="E294" s="5"/>
      <c r="F294" s="5"/>
      <c r="G294" s="5"/>
      <c r="H294" s="5"/>
      <c r="I294" s="5"/>
      <c r="J294" s="5"/>
      <c r="K294" s="5"/>
      <c r="L294" s="5"/>
      <c r="M294" s="5"/>
      <c r="N294" s="5"/>
      <c r="O294" s="5"/>
      <c r="P294" s="5"/>
      <c r="Q294" s="5"/>
      <c r="R294" s="5"/>
      <c r="S294" s="5"/>
      <c r="T294" s="5"/>
      <c r="U294" s="5"/>
      <c r="V294" s="5"/>
      <c r="W294" s="5"/>
      <c r="X294" s="5"/>
      <c r="Y294" s="5"/>
      <c r="Z294" s="5"/>
    </row>
    <row r="295" spans="1:26" ht="12.5" x14ac:dyDescent="0.25">
      <c r="A295" s="5" t="s">
        <v>755</v>
      </c>
      <c r="B295" s="5" t="str">
        <f ca="1">IFERROR(__xludf.DUMMYFUNCTION("AI(""Fill an appropriate value for this cell based on the table context"")"),"emphasize or draw a line under something to show its importance")</f>
        <v>emphasize or draw a line under something to show its importance</v>
      </c>
      <c r="C295" s="5" t="str">
        <f ca="1">IFERROR(__xludf.DUMMYFUNCTION("AI(""Fill an appropriate value for this cell based on the table context"")"),"emphasize, highlight, stress")</f>
        <v>emphasize, highlight, stress</v>
      </c>
      <c r="D295" s="5" t="str">
        <f ca="1">IFERROR(__xludf.DUMMYFUNCTION("AI(""Fill an appropriate value for this cell based on the table context"")"),"The recent tragedy underscores the danger of disregarding safety rules.")</f>
        <v>The recent tragedy underscores the danger of disregarding safety rules.</v>
      </c>
      <c r="E295" s="5"/>
      <c r="F295" s="5"/>
      <c r="G295" s="5"/>
      <c r="H295" s="5"/>
      <c r="I295" s="5"/>
      <c r="J295" s="5"/>
      <c r="K295" s="5"/>
      <c r="L295" s="5"/>
      <c r="M295" s="5"/>
      <c r="N295" s="5"/>
      <c r="O295" s="5"/>
      <c r="P295" s="5"/>
      <c r="Q295" s="5"/>
      <c r="R295" s="5"/>
      <c r="S295" s="5"/>
      <c r="T295" s="5"/>
      <c r="U295" s="5"/>
      <c r="V295" s="5"/>
      <c r="W295" s="5"/>
      <c r="X295" s="5"/>
      <c r="Y295" s="5"/>
      <c r="Z295" s="5"/>
    </row>
    <row r="296" spans="1:26" ht="12.5" x14ac:dyDescent="0.25">
      <c r="A296" s="5" t="s">
        <v>756</v>
      </c>
      <c r="B296" s="5" t="str">
        <f ca="1">IFERROR(__xludf.DUMMYFUNCTION("AI(""Fill an appropriate value for this cell based on the table context"")"),"flatter or praise someone excessively")</f>
        <v>flatter or praise someone excessively</v>
      </c>
      <c r="C296" s="5" t="str">
        <f ca="1">IFERROR(__xludf.DUMMYFUNCTION("AI(""Fill an appropriate value for this cell based on the table context"")"),"flatter, worship, idolize")</f>
        <v>flatter, worship, idolize</v>
      </c>
      <c r="D296" s="5" t="str">
        <f ca="1">IFERROR(__xludf.DUMMYFUNCTION("AI(""Fill an appropriate value for this cell based on the table context"")"),"The fans continued to adulate the young athlete after he won the championship game.")</f>
        <v>The fans continued to adulate the young athlete after he won the championship game.</v>
      </c>
      <c r="E296" s="5"/>
      <c r="F296" s="5"/>
      <c r="G296" s="5"/>
      <c r="H296" s="5"/>
      <c r="I296" s="5"/>
      <c r="J296" s="5"/>
      <c r="K296" s="5"/>
      <c r="L296" s="5"/>
      <c r="M296" s="5"/>
      <c r="N296" s="5"/>
      <c r="O296" s="5"/>
      <c r="P296" s="5"/>
      <c r="Q296" s="5"/>
      <c r="R296" s="5"/>
      <c r="S296" s="5"/>
      <c r="T296" s="5"/>
      <c r="U296" s="5"/>
      <c r="V296" s="5"/>
      <c r="W296" s="5"/>
      <c r="X296" s="5"/>
      <c r="Y296" s="5"/>
      <c r="Z296" s="5"/>
    </row>
    <row r="297" spans="1:26" ht="25" x14ac:dyDescent="0.25">
      <c r="A297" s="5" t="s">
        <v>757</v>
      </c>
      <c r="B297" s="5" t="str">
        <f ca="1">IFERROR(__xludf.DUMMYFUNCTION("AI(""Fill an appropriate value for this cell based on the table context"")"),"the horticultural technique of joining tissues from different plants so they continue to grow together")</f>
        <v>the horticultural technique of joining tissues from different plants so they continue to grow together</v>
      </c>
      <c r="C297" s="5" t="str">
        <f ca="1">IFERROR(__xludf.DUMMYFUNCTION("AI(""Fill an appropriate value for this cell based on the table context"")"),"transplant, splice, implant")</f>
        <v>transplant, splice, implant</v>
      </c>
      <c r="D297" s="5" t="str">
        <f ca="1">IFERROR(__xludf.DUMMYFUNCTION("AI(""Fill an appropriate value for this cell based on the table context"")"),"The surgeon performed a skin grafting procedure to treat the patient's severe burn wounds.")</f>
        <v>The surgeon performed a skin grafting procedure to treat the patient's severe burn wounds.</v>
      </c>
      <c r="E297" s="5"/>
      <c r="F297" s="5"/>
      <c r="G297" s="5"/>
      <c r="H297" s="5"/>
      <c r="I297" s="5"/>
      <c r="J297" s="5"/>
      <c r="K297" s="5"/>
      <c r="L297" s="5"/>
      <c r="M297" s="5"/>
      <c r="N297" s="5"/>
      <c r="O297" s="5"/>
      <c r="P297" s="5"/>
      <c r="Q297" s="5"/>
      <c r="R297" s="5"/>
      <c r="S297" s="5"/>
      <c r="T297" s="5"/>
      <c r="U297" s="5"/>
      <c r="V297" s="5"/>
      <c r="W297" s="5"/>
      <c r="X297" s="5"/>
      <c r="Y297" s="5"/>
      <c r="Z297" s="5"/>
    </row>
    <row r="298" spans="1:26" ht="25" x14ac:dyDescent="0.25">
      <c r="A298" s="5" t="s">
        <v>758</v>
      </c>
      <c r="B298" s="5" t="s">
        <v>759</v>
      </c>
      <c r="C298" s="5" t="str">
        <f ca="1">IFERROR(__xludf.DUMMYFUNCTION("AI(""Fill an appropriate value for this cell based on the table context"")"),"heresy, nonconformity, radicalism")</f>
        <v>heresy, nonconformity, radicalism</v>
      </c>
      <c r="D298" s="5" t="str">
        <f ca="1">IFERROR(__xludf.DUMMYFUNCTION("AI(""Fill an appropriate value for this cell based on the table context"")"),"His iconoclasm may be why he never won the prestigious award.")</f>
        <v>His iconoclasm may be why he never won the prestigious award.</v>
      </c>
      <c r="E298" s="5"/>
      <c r="F298" s="5"/>
      <c r="G298" s="5"/>
      <c r="H298" s="5"/>
      <c r="I298" s="5"/>
      <c r="J298" s="5"/>
      <c r="K298" s="5"/>
      <c r="L298" s="5"/>
      <c r="M298" s="5"/>
      <c r="N298" s="5"/>
      <c r="O298" s="5"/>
      <c r="P298" s="5"/>
      <c r="Q298" s="5"/>
      <c r="R298" s="5"/>
      <c r="S298" s="5"/>
      <c r="T298" s="5"/>
      <c r="U298" s="5"/>
      <c r="V298" s="5"/>
      <c r="W298" s="5"/>
      <c r="X298" s="5"/>
      <c r="Y298" s="5"/>
      <c r="Z298" s="5"/>
    </row>
    <row r="299" spans="1:26" ht="12.5" x14ac:dyDescent="0.25">
      <c r="A299" s="5" t="s">
        <v>760</v>
      </c>
      <c r="B299" s="5" t="str">
        <f ca="1">IFERROR(__xludf.DUMMYFUNCTION("AI(""Fill an appropriate value for this cell based on the table context"")"),"harsh or severe in tone, expression, or temper")</f>
        <v>harsh or severe in tone, expression, or temper</v>
      </c>
      <c r="C299" s="5" t="str">
        <f ca="1">IFERROR(__xludf.DUMMYFUNCTION("AI(""Fill an appropriate value for this cell based on the table context"")"),"caustic, biting, scathing")</f>
        <v>caustic, biting, scathing</v>
      </c>
      <c r="D299" s="5" t="str">
        <f ca="1">IFERROR(__xludf.DUMMYFUNCTION("AI(""Fill an appropriate value for this cell based on the table context"")"),"The critic's review was filled with acerbic wit, tearing apart the film's plot and acting.")</f>
        <v>The critic's review was filled with acerbic wit, tearing apart the film's plot and acting.</v>
      </c>
      <c r="E299" s="5"/>
      <c r="F299" s="5"/>
      <c r="G299" s="5"/>
      <c r="H299" s="5"/>
      <c r="I299" s="5"/>
      <c r="J299" s="5"/>
      <c r="K299" s="5"/>
      <c r="L299" s="5"/>
      <c r="M299" s="5"/>
      <c r="N299" s="5"/>
      <c r="O299" s="5"/>
      <c r="P299" s="5"/>
      <c r="Q299" s="5"/>
      <c r="R299" s="5"/>
      <c r="S299" s="5"/>
      <c r="T299" s="5"/>
      <c r="U299" s="5"/>
      <c r="V299" s="5"/>
      <c r="W299" s="5"/>
      <c r="X299" s="5"/>
      <c r="Y299" s="5"/>
      <c r="Z299" s="5"/>
    </row>
    <row r="300" spans="1:26" ht="12.5" x14ac:dyDescent="0.25">
      <c r="A300" s="5" t="s">
        <v>761</v>
      </c>
      <c r="B300" s="5" t="str">
        <f ca="1">IFERROR(__xludf.DUMMYFUNCTION("AI(""Fill an appropriate value for this cell based on the table context"")"),"a solution or remedy for all problems or diseases")</f>
        <v>a solution or remedy for all problems or diseases</v>
      </c>
      <c r="C300" s="5" t="str">
        <f ca="1">IFERROR(__xludf.DUMMYFUNCTION("AI(""Fill an appropriate value for this cell based on the table context"")"),"cure-all, remedy, elixir")</f>
        <v>cure-all, remedy, elixir</v>
      </c>
      <c r="D300" s="5" t="str">
        <f ca="1">IFERROR(__xludf.DUMMYFUNCTION("AI(""Fill an appropriate value for this cell based on the table context"")"),"The new economic policy was not a panacea for all of the country's financial problems.")</f>
        <v>The new economic policy was not a panacea for all of the country's financial problems.</v>
      </c>
      <c r="E300" s="5"/>
      <c r="F300" s="5"/>
      <c r="G300" s="5"/>
      <c r="H300" s="5"/>
      <c r="I300" s="5"/>
      <c r="J300" s="5"/>
      <c r="K300" s="5"/>
      <c r="L300" s="5"/>
      <c r="M300" s="5"/>
      <c r="N300" s="5"/>
      <c r="O300" s="5"/>
      <c r="P300" s="5"/>
      <c r="Q300" s="5"/>
      <c r="R300" s="5"/>
      <c r="S300" s="5"/>
      <c r="T300" s="5"/>
      <c r="U300" s="5"/>
      <c r="V300" s="5"/>
      <c r="W300" s="5"/>
      <c r="X300" s="5"/>
      <c r="Y300" s="5"/>
      <c r="Z300" s="5"/>
    </row>
    <row r="301" spans="1:26" ht="12.5" x14ac:dyDescent="0.25">
      <c r="A301" s="5" t="s">
        <v>762</v>
      </c>
      <c r="B301" s="5" t="str">
        <f ca="1">IFERROR(__xludf.DUMMYFUNCTION("AI(""Fill an appropriate value for this cell based on the table context"")"),"relating to or based on an experiment, test, or trial")</f>
        <v>relating to or based on an experiment, test, or trial</v>
      </c>
      <c r="C301" s="5" t="str">
        <f ca="1">IFERROR(__xludf.DUMMYFUNCTION("AI(""Fill an appropriate value for this cell based on the table context"")"),"tentative, exploratory, trial")</f>
        <v>tentative, exploratory, trial</v>
      </c>
      <c r="D301" s="5" t="str">
        <f ca="1">IFERROR(__xludf.DUMMYFUNCTION("AI(""Fill an appropriate value for this cell based on the table context"")"),"The researchers conducted an experimental trial to test the effectiveness of the new vaccine.")</f>
        <v>The researchers conducted an experimental trial to test the effectiveness of the new vaccine.</v>
      </c>
      <c r="E301" s="5"/>
      <c r="F301" s="5"/>
      <c r="G301" s="5"/>
      <c r="H301" s="5"/>
      <c r="I301" s="5"/>
      <c r="J301" s="5"/>
      <c r="K301" s="5"/>
      <c r="L301" s="5"/>
      <c r="M301" s="5"/>
      <c r="N301" s="5"/>
      <c r="O301" s="5"/>
      <c r="P301" s="5"/>
      <c r="Q301" s="5"/>
      <c r="R301" s="5"/>
      <c r="S301" s="5"/>
      <c r="T301" s="5"/>
      <c r="U301" s="5"/>
      <c r="V301" s="5"/>
      <c r="W301" s="5"/>
      <c r="X301" s="5"/>
      <c r="Y301" s="5"/>
      <c r="Z301" s="5"/>
    </row>
    <row r="302" spans="1:26" ht="12.5" x14ac:dyDescent="0.25">
      <c r="A302" s="5" t="s">
        <v>763</v>
      </c>
      <c r="B302" s="5" t="str">
        <f ca="1">IFERROR(__xludf.DUMMYFUNCTION("AI(""Fill an appropriate value for this cell based on the table context"")"),"property or estate inherited from one's father or ancestors")</f>
        <v>property or estate inherited from one's father or ancestors</v>
      </c>
      <c r="C302" s="5" t="str">
        <f ca="1">IFERROR(__xludf.DUMMYFUNCTION("AI(""Fill an appropriate value for this cell based on the table context"")"),"inheritance, legacy, heritage")</f>
        <v>inheritance, legacy, heritage</v>
      </c>
      <c r="D302" s="5" t="str">
        <f ca="1">IFERROR(__xludf.DUMMYFUNCTION("AI(""Fill an appropriate value for this cell based on the table context"")"),"These historic landmarks are an important part of our cultural patrimony.")</f>
        <v>These historic landmarks are an important part of our cultural patrimony.</v>
      </c>
      <c r="E302" s="5"/>
      <c r="F302" s="5"/>
      <c r="G302" s="5"/>
      <c r="H302" s="5"/>
      <c r="I302" s="5"/>
      <c r="J302" s="5"/>
      <c r="K302" s="5"/>
      <c r="L302" s="5"/>
      <c r="M302" s="5"/>
      <c r="N302" s="5"/>
      <c r="O302" s="5"/>
      <c r="P302" s="5"/>
      <c r="Q302" s="5"/>
      <c r="R302" s="5"/>
      <c r="S302" s="5"/>
      <c r="T302" s="5"/>
      <c r="U302" s="5"/>
      <c r="V302" s="5"/>
      <c r="W302" s="5"/>
      <c r="X302" s="5"/>
      <c r="Y302" s="5"/>
      <c r="Z302" s="5"/>
    </row>
    <row r="303" spans="1:26" ht="12.5" x14ac:dyDescent="0.25">
      <c r="A303" s="5" t="s">
        <v>764</v>
      </c>
      <c r="B303" s="5" t="str">
        <f ca="1">IFERROR(__xludf.DUMMYFUNCTION("AI(""Fill an appropriate value for this cell based on the table context"")"),"a young swan")</f>
        <v>a young swan</v>
      </c>
      <c r="C303" s="5" t="str">
        <f ca="1">IFERROR(__xludf.DUMMYFUNCTION("AI(""Fill an appropriate value for this cell based on the table context"")"),"swanling")</f>
        <v>swanling</v>
      </c>
      <c r="D303" s="5" t="str">
        <f ca="1">IFERROR(__xludf.DUMMYFUNCTION("AI(""Fill an appropriate value for this cell based on the table context"")"),"The mother swan glided across the lake, followed by a trail of fluffy cygnets.")</f>
        <v>The mother swan glided across the lake, followed by a trail of fluffy cygnets.</v>
      </c>
      <c r="E303" s="5"/>
      <c r="F303" s="5"/>
      <c r="G303" s="5"/>
      <c r="H303" s="5"/>
      <c r="I303" s="5"/>
      <c r="J303" s="5"/>
      <c r="K303" s="5"/>
      <c r="L303" s="5"/>
      <c r="M303" s="5"/>
      <c r="N303" s="5"/>
      <c r="O303" s="5"/>
      <c r="P303" s="5"/>
      <c r="Q303" s="5"/>
      <c r="R303" s="5"/>
      <c r="S303" s="5"/>
      <c r="T303" s="5"/>
      <c r="U303" s="5"/>
      <c r="V303" s="5"/>
      <c r="W303" s="5"/>
      <c r="X303" s="5"/>
      <c r="Y303" s="5"/>
      <c r="Z303" s="5"/>
    </row>
    <row r="304" spans="1:26" ht="12.5" x14ac:dyDescent="0.25">
      <c r="A304" s="5" t="s">
        <v>765</v>
      </c>
      <c r="B304" s="5" t="str">
        <f ca="1">IFERROR(__xludf.DUMMYFUNCTION("AI(""Fill an appropriate value for this cell based on the table context"")"),"lean, strong, and muscular")</f>
        <v>lean, strong, and muscular</v>
      </c>
      <c r="C304" s="5" t="str">
        <f ca="1">IFERROR(__xludf.DUMMYFUNCTION("AI(""Fill an appropriate value for this cell based on the table context"")"),"muscular, brawny, wiry")</f>
        <v>muscular, brawny, wiry</v>
      </c>
      <c r="D304" s="5" t="str">
        <f ca="1">IFERROR(__xludf.DUMMYFUNCTION("AI(""Fill an appropriate value for this cell based on the table context"")"),"The athlete's sinewy arms showed the results of years of intense training.")</f>
        <v>The athlete's sinewy arms showed the results of years of intense training.</v>
      </c>
      <c r="E304" s="5"/>
      <c r="F304" s="5"/>
      <c r="G304" s="5"/>
      <c r="H304" s="5"/>
      <c r="I304" s="5"/>
      <c r="J304" s="5"/>
      <c r="K304" s="5"/>
      <c r="L304" s="5"/>
      <c r="M304" s="5"/>
      <c r="N304" s="5"/>
      <c r="O304" s="5"/>
      <c r="P304" s="5"/>
      <c r="Q304" s="5"/>
      <c r="R304" s="5"/>
      <c r="S304" s="5"/>
      <c r="T304" s="5"/>
      <c r="U304" s="5"/>
      <c r="V304" s="5"/>
      <c r="W304" s="5"/>
      <c r="X304" s="5"/>
      <c r="Y304" s="5"/>
      <c r="Z304" s="5"/>
    </row>
    <row r="305" spans="1:26" ht="12.5" x14ac:dyDescent="0.25">
      <c r="A305" s="5" t="s">
        <v>766</v>
      </c>
      <c r="B305" s="5" t="str">
        <f ca="1">IFERROR(__xludf.DUMMYFUNCTION("AI(""Fill an appropriate value for this cell based on the table context"")"),"making a loud, confused, or insistent noise")</f>
        <v>making a loud, confused, or insistent noise</v>
      </c>
      <c r="C305" s="5" t="str">
        <f ca="1">IFERROR(__xludf.DUMMYFUNCTION("AI(""Fill an appropriate value for this cell based on the table context"")"),"vociferous, noisy, blatant")</f>
        <v>vociferous, noisy, blatant</v>
      </c>
      <c r="D305" s="5" t="str">
        <f ca="1">IFERROR(__xludf.DUMMYFUNCTION("AI(""Fill an appropriate value for this cell based on the table context"")"),"The clamorous noise from the street kept us awake all night.")</f>
        <v>The clamorous noise from the street kept us awake all night.</v>
      </c>
      <c r="E305" s="5"/>
      <c r="F305" s="5"/>
      <c r="G305" s="5"/>
      <c r="H305" s="5"/>
      <c r="I305" s="5"/>
      <c r="J305" s="5"/>
      <c r="K305" s="5"/>
      <c r="L305" s="5"/>
      <c r="M305" s="5"/>
      <c r="N305" s="5"/>
      <c r="O305" s="5"/>
      <c r="P305" s="5"/>
      <c r="Q305" s="5"/>
      <c r="R305" s="5"/>
      <c r="S305" s="5"/>
      <c r="T305" s="5"/>
      <c r="U305" s="5"/>
      <c r="V305" s="5"/>
      <c r="W305" s="5"/>
      <c r="X305" s="5"/>
      <c r="Y305" s="5"/>
      <c r="Z305" s="5"/>
    </row>
    <row r="306" spans="1:26" ht="12.5" x14ac:dyDescent="0.25">
      <c r="A306" s="5" t="s">
        <v>767</v>
      </c>
      <c r="B306" s="5" t="str">
        <f ca="1">IFERROR(__xludf.DUMMYFUNCTION("AI(""Fill an appropriate value for this cell based on the table context"")"),"expressing feelings or opinions in a loud or forceful way")</f>
        <v>expressing feelings or opinions in a loud or forceful way</v>
      </c>
      <c r="C306" s="5" t="str">
        <f ca="1">IFERROR(__xludf.DUMMYFUNCTION("AI(""Fill an appropriate value for this cell based on the table context"")"),"blatant, boisterous, clamorous")</f>
        <v>blatant, boisterous, clamorous</v>
      </c>
      <c r="D306" s="5" t="str">
        <f ca="1">IFERROR(__xludf.DUMMYFUNCTION("AI(""Fill an appropriate value for this cell based on the table context"")"),"The decision was made over their vociferous objections.")</f>
        <v>The decision was made over their vociferous objections.</v>
      </c>
      <c r="E306" s="5"/>
      <c r="F306" s="5"/>
      <c r="G306" s="5"/>
      <c r="H306" s="5"/>
      <c r="I306" s="5"/>
      <c r="J306" s="5"/>
      <c r="K306" s="5"/>
      <c r="L306" s="5"/>
      <c r="M306" s="5"/>
      <c r="N306" s="5"/>
      <c r="O306" s="5"/>
      <c r="P306" s="5"/>
      <c r="Q306" s="5"/>
      <c r="R306" s="5"/>
      <c r="S306" s="5"/>
      <c r="T306" s="5"/>
      <c r="U306" s="5"/>
      <c r="V306" s="5"/>
      <c r="W306" s="5"/>
      <c r="X306" s="5"/>
      <c r="Y306" s="5"/>
      <c r="Z306" s="5"/>
    </row>
    <row r="307" spans="1:26" ht="12.5" x14ac:dyDescent="0.25">
      <c r="A307" s="5" t="s">
        <v>768</v>
      </c>
      <c r="B307" s="5" t="str">
        <f ca="1">IFERROR(__xludf.DUMMYFUNCTION("AI(""Fill an appropriate value for this cell based on the table context"")"),"explain or analyze something in detail")</f>
        <v>explain or analyze something in detail</v>
      </c>
      <c r="C307" s="5" t="str">
        <f ca="1">IFERROR(__xludf.DUMMYFUNCTION("AI(""Fill an appropriate value for this cell based on the table context"")"),"elucidate, explain, expound")</f>
        <v>elucidate, explain, expound</v>
      </c>
      <c r="D307" s="5" t="str">
        <f ca="1">IFERROR(__xludf.DUMMYFUNCTION("AI(""Fill an appropriate value for this cell based on the table context"")"),"The professor spent the entire lecture trying to explicate the complex poem to his students.")</f>
        <v>The professor spent the entire lecture trying to explicate the complex poem to his students.</v>
      </c>
      <c r="E307" s="5"/>
      <c r="F307" s="5"/>
      <c r="G307" s="5"/>
      <c r="H307" s="5"/>
      <c r="I307" s="5"/>
      <c r="J307" s="5"/>
      <c r="K307" s="5"/>
      <c r="L307" s="5"/>
      <c r="M307" s="5"/>
      <c r="N307" s="5"/>
      <c r="O307" s="5"/>
      <c r="P307" s="5"/>
      <c r="Q307" s="5"/>
      <c r="R307" s="5"/>
      <c r="S307" s="5"/>
      <c r="T307" s="5"/>
      <c r="U307" s="5"/>
      <c r="V307" s="5"/>
      <c r="W307" s="5"/>
      <c r="X307" s="5"/>
      <c r="Y307" s="5"/>
      <c r="Z307" s="5"/>
    </row>
    <row r="308" spans="1:26" ht="12.5" x14ac:dyDescent="0.25">
      <c r="A308" s="5" t="s">
        <v>769</v>
      </c>
      <c r="B308" s="5" t="str">
        <f ca="1">IFERROR(__xludf.DUMMYFUNCTION("AI(""Fill an appropriate value for this cell based on the table context"")"),"exaggerated praise, especially for promotional purposes")</f>
        <v>exaggerated praise, especially for promotional purposes</v>
      </c>
      <c r="C308" s="5" t="str">
        <f ca="1">IFERROR(__xludf.DUMMYFUNCTION("AI(""Fill an appropriate value for this cell based on the table context"")"),"hype, publicity, promotion")</f>
        <v>hype, publicity, promotion</v>
      </c>
      <c r="D308" s="5" t="str">
        <f ca="1">IFERROR(__xludf.DUMMYFUNCTION("AI(""Fill an appropriate value for this cell based on the table context"")"),"The company's claim that its product was the best in the world was dismissed as mere puffery.")</f>
        <v>The company's claim that its product was the best in the world was dismissed as mere puffery.</v>
      </c>
      <c r="E308" s="5"/>
      <c r="F308" s="5"/>
      <c r="G308" s="5"/>
      <c r="H308" s="5"/>
      <c r="I308" s="5"/>
      <c r="J308" s="5"/>
      <c r="K308" s="5"/>
      <c r="L308" s="5"/>
      <c r="M308" s="5"/>
      <c r="N308" s="5"/>
      <c r="O308" s="5"/>
      <c r="P308" s="5"/>
      <c r="Q308" s="5"/>
      <c r="R308" s="5"/>
      <c r="S308" s="5"/>
      <c r="T308" s="5"/>
      <c r="U308" s="5"/>
      <c r="V308" s="5"/>
      <c r="W308" s="5"/>
      <c r="X308" s="5"/>
      <c r="Y308" s="5"/>
      <c r="Z308" s="5"/>
    </row>
    <row r="309" spans="1:26" ht="12.5" x14ac:dyDescent="0.25">
      <c r="A309" s="5" t="s">
        <v>770</v>
      </c>
      <c r="B309" s="5" t="str">
        <f ca="1">IFERROR(__xludf.DUMMYFUNCTION("AI(""Fill an appropriate value for this cell based on the table context"")"),"impossible to forget or remove")</f>
        <v>impossible to forget or remove</v>
      </c>
      <c r="C309" s="5" t="s">
        <v>771</v>
      </c>
      <c r="D309" s="5" t="str">
        <f ca="1">IFERROR(__xludf.DUMMYFUNCTION("AI(""Fill an appropriate value for this cell based on the table context"")"),"The childhood experience left an indelible impression on his mind.")</f>
        <v>The childhood experience left an indelible impression on his mind.</v>
      </c>
      <c r="E309" s="5"/>
      <c r="F309" s="5"/>
      <c r="G309" s="5"/>
      <c r="H309" s="5"/>
      <c r="I309" s="5"/>
      <c r="J309" s="5"/>
      <c r="K309" s="5"/>
      <c r="L309" s="5"/>
      <c r="M309" s="5"/>
      <c r="N309" s="5"/>
      <c r="O309" s="5"/>
      <c r="P309" s="5"/>
      <c r="Q309" s="5"/>
      <c r="R309" s="5"/>
      <c r="S309" s="5"/>
      <c r="T309" s="5"/>
      <c r="U309" s="5"/>
      <c r="V309" s="5"/>
      <c r="W309" s="5"/>
      <c r="X309" s="5"/>
      <c r="Y309" s="5"/>
      <c r="Z309" s="5"/>
    </row>
    <row r="310" spans="1:26" ht="12.5" x14ac:dyDescent="0.25">
      <c r="A310" s="5" t="s">
        <v>772</v>
      </c>
      <c r="B310" s="5" t="str">
        <f ca="1">IFERROR(__xludf.DUMMYFUNCTION("AI(""Fill an appropriate value for this cell based on the table context"")"),"having a narrow view of the world or isolated from outside influences")</f>
        <v>having a narrow view of the world or isolated from outside influences</v>
      </c>
      <c r="C310" s="5" t="str">
        <f ca="1">IFERROR(__xludf.DUMMYFUNCTION("AI(""Fill an appropriate value for this cell based on the table context"")"),"parochial, narrow-minded, provincial")</f>
        <v>parochial, narrow-minded, provincial</v>
      </c>
      <c r="D310" s="5" t="str">
        <f ca="1">IFERROR(__xludf.DUMMYFUNCTION("AI(""Fill an appropriate value for this cell based on the table context"")"),"The isolated country has grown even more insular during the pandemic, fearful of how severe outbreaks could ravage its decrepit health system.")</f>
        <v>The isolated country has grown even more insular during the pandemic, fearful of how severe outbreaks could ravage its decrepit health system.</v>
      </c>
      <c r="E310" s="5"/>
      <c r="F310" s="5"/>
      <c r="G310" s="5"/>
      <c r="H310" s="5"/>
      <c r="I310" s="5"/>
      <c r="J310" s="5"/>
      <c r="K310" s="5"/>
      <c r="L310" s="5"/>
      <c r="M310" s="5"/>
      <c r="N310" s="5"/>
      <c r="O310" s="5"/>
      <c r="P310" s="5"/>
      <c r="Q310" s="5"/>
      <c r="R310" s="5"/>
      <c r="S310" s="5"/>
      <c r="T310" s="5"/>
      <c r="U310" s="5"/>
      <c r="V310" s="5"/>
      <c r="W310" s="5"/>
      <c r="X310" s="5"/>
      <c r="Y310" s="5"/>
      <c r="Z310" s="5"/>
    </row>
    <row r="311" spans="1:26" ht="12.5" x14ac:dyDescent="0.25">
      <c r="A311" s="5" t="s">
        <v>773</v>
      </c>
      <c r="B311" s="5" t="str">
        <f ca="1">IFERROR(__xludf.DUMMYFUNCTION("AI(""Fill an appropriate value for this cell based on the table context"")"),"narrow in outlook or scope")</f>
        <v>narrow in outlook or scope</v>
      </c>
      <c r="C311" s="5" t="str">
        <f ca="1">IFERROR(__xludf.DUMMYFUNCTION("AI(""Fill an appropriate value for this cell based on the table context"")"),"provincial, insular, narrow-minded")</f>
        <v>provincial, insular, narrow-minded</v>
      </c>
      <c r="D311" s="5" t="str">
        <f ca="1">IFERROR(__xludf.DUMMYFUNCTION("AI(""Fill an appropriate value for this cell based on the table context"")"),"John's view of life is parochial and does not include anything outside of his own happiness.")</f>
        <v>John's view of life is parochial and does not include anything outside of his own happiness.</v>
      </c>
      <c r="E311" s="5"/>
      <c r="F311" s="5"/>
      <c r="G311" s="5"/>
      <c r="H311" s="5"/>
      <c r="I311" s="5"/>
      <c r="J311" s="5"/>
      <c r="K311" s="5"/>
      <c r="L311" s="5"/>
      <c r="M311" s="5"/>
      <c r="N311" s="5"/>
      <c r="O311" s="5"/>
      <c r="P311" s="5"/>
      <c r="Q311" s="5"/>
      <c r="R311" s="5"/>
      <c r="S311" s="5"/>
      <c r="T311" s="5"/>
      <c r="U311" s="5"/>
      <c r="V311" s="5"/>
      <c r="W311" s="5"/>
      <c r="X311" s="5"/>
      <c r="Y311" s="5"/>
      <c r="Z311" s="5"/>
    </row>
    <row r="312" spans="1:26" ht="12.5" x14ac:dyDescent="0.25">
      <c r="A312" s="5" t="s">
        <v>774</v>
      </c>
      <c r="B312" s="5" t="str">
        <f ca="1">IFERROR(__xludf.DUMMYFUNCTION("AI(""Fill an appropriate value for this cell based on the table context"")"),"stubbornly conservative and narrow-minded")</f>
        <v>stubbornly conservative and narrow-minded</v>
      </c>
      <c r="C312" s="5" t="str">
        <f ca="1">IFERROR(__xludf.DUMMYFUNCTION("AI(""Fill an appropriate value for this cell based on the table context"")"),"traditional, conservative, orthodox")</f>
        <v>traditional, conservative, orthodox</v>
      </c>
      <c r="D312" s="5" t="str">
        <f ca="1">IFERROR(__xludf.DUMMYFUNCTION("AI(""Fill an appropriate value for this cell based on the table context"")"),"The company's hidebound management refused to adopt any new technologies.")</f>
        <v>The company's hidebound management refused to adopt any new technologies.</v>
      </c>
      <c r="E312" s="5"/>
      <c r="F312" s="5"/>
      <c r="G312" s="5"/>
      <c r="H312" s="5"/>
      <c r="I312" s="5"/>
      <c r="J312" s="5"/>
      <c r="K312" s="5"/>
      <c r="L312" s="5"/>
      <c r="M312" s="5"/>
      <c r="N312" s="5"/>
      <c r="O312" s="5"/>
      <c r="P312" s="5"/>
      <c r="Q312" s="5"/>
      <c r="R312" s="5"/>
      <c r="S312" s="5"/>
      <c r="T312" s="5"/>
      <c r="U312" s="5"/>
      <c r="V312" s="5"/>
      <c r="W312" s="5"/>
      <c r="X312" s="5"/>
      <c r="Y312" s="5"/>
      <c r="Z312" s="5"/>
    </row>
    <row r="313" spans="1:26" ht="12.5" x14ac:dyDescent="0.25">
      <c r="A313" s="5" t="s">
        <v>775</v>
      </c>
      <c r="B313" s="5" t="str">
        <f ca="1">IFERROR(__xludf.DUMMYFUNCTION("AI(""Fill an appropriate value for this cell based on the table context"")"),"limited in outlook; narrow or unsophisticated")</f>
        <v>limited in outlook; narrow or unsophisticated</v>
      </c>
      <c r="C313" s="5" t="str">
        <f ca="1">IFERROR(__xludf.DUMMYFUNCTION("AI(""Fill an appropriate value for this cell based on the table context"")"),"regional, local, parochial")</f>
        <v>regional, local, parochial</v>
      </c>
      <c r="D313" s="5" t="str">
        <f ca="1">IFERROR(__xludf.DUMMYFUNCTION("AI(""Fill an appropriate value for this cell based on the table context"")"),"His provincial attitude made it difficult for him to accept new ideas.")</f>
        <v>His provincial attitude made it difficult for him to accept new ideas.</v>
      </c>
      <c r="E313" s="5"/>
      <c r="F313" s="5"/>
      <c r="G313" s="5"/>
      <c r="H313" s="5"/>
      <c r="I313" s="5"/>
      <c r="J313" s="5"/>
      <c r="K313" s="5"/>
      <c r="L313" s="5"/>
      <c r="M313" s="5"/>
      <c r="N313" s="5"/>
      <c r="O313" s="5"/>
      <c r="P313" s="5"/>
      <c r="Q313" s="5"/>
      <c r="R313" s="5"/>
      <c r="S313" s="5"/>
      <c r="T313" s="5"/>
      <c r="U313" s="5"/>
      <c r="V313" s="5"/>
      <c r="W313" s="5"/>
      <c r="X313" s="5"/>
      <c r="Y313" s="5"/>
      <c r="Z313" s="5"/>
    </row>
    <row r="314" spans="1:26" ht="12.5" x14ac:dyDescent="0.25">
      <c r="A314" s="5" t="s">
        <v>776</v>
      </c>
      <c r="B314" s="5" t="str">
        <f ca="1">IFERROR(__xludf.DUMMYFUNCTION("AI(""Fill an appropriate value for this cell based on the table context"")"),"unwilling to change your opinions or behavior")</f>
        <v>unwilling to change your opinions or behavior</v>
      </c>
      <c r="C314" s="5" t="str">
        <f ca="1">IFERROR(__xludf.DUMMYFUNCTION("AI(""Fill an appropriate value for this cell based on the table context"")"),"uncompromising, inflexible, stubborn")</f>
        <v>uncompromising, inflexible, stubborn</v>
      </c>
      <c r="D314" s="5" t="str">
        <f ca="1">IFERROR(__xludf.DUMMYFUNCTION("AI(""Fill an appropriate value for this cell based on the table context"")"),"He remained intransigent in his opposition to the proposal.")</f>
        <v>He remained intransigent in his opposition to the proposal.</v>
      </c>
      <c r="E314" s="5"/>
      <c r="F314" s="5"/>
      <c r="G314" s="5"/>
      <c r="H314" s="5"/>
      <c r="I314" s="5"/>
      <c r="J314" s="5"/>
      <c r="K314" s="5"/>
      <c r="L314" s="5"/>
      <c r="M314" s="5"/>
      <c r="N314" s="5"/>
      <c r="O314" s="5"/>
      <c r="P314" s="5"/>
      <c r="Q314" s="5"/>
      <c r="R314" s="5"/>
      <c r="S314" s="5"/>
      <c r="T314" s="5"/>
      <c r="U314" s="5"/>
      <c r="V314" s="5"/>
      <c r="W314" s="5"/>
      <c r="X314" s="5"/>
      <c r="Y314" s="5"/>
      <c r="Z314" s="5"/>
    </row>
    <row r="315" spans="1:26" ht="12.5" x14ac:dyDescent="0.25">
      <c r="A315" s="5" t="s">
        <v>777</v>
      </c>
      <c r="B315" s="5" t="str">
        <f ca="1">IFERROR(__xludf.DUMMYFUNCTION("AI(""Fill an appropriate value for this cell based on the table context"")"),"stubbornly refusing to change one's opinion or course of action; unyielding")</f>
        <v>stubbornly refusing to change one's opinion or course of action; unyielding</v>
      </c>
      <c r="C315" s="5" t="str">
        <f ca="1">IFERROR(__xludf.DUMMYFUNCTION("AI(""Fill an appropriate value for this cell based on the table context"")"),"stubborn, obstinate, unyielding")</f>
        <v>stubborn, obstinate, unyielding</v>
      </c>
      <c r="D315" s="5" t="str">
        <f ca="1">IFERROR(__xludf.DUMMYFUNCTION("AI(""Fill an appropriate value for this cell based on the table context"")"),"Despite the hours of intense negotiation, the committee remained obdurate and refused to alter their decision.")</f>
        <v>Despite the hours of intense negotiation, the committee remained obdurate and refused to alter their decision.</v>
      </c>
      <c r="E315" s="5"/>
      <c r="F315" s="5"/>
      <c r="G315" s="5"/>
      <c r="H315" s="5"/>
      <c r="I315" s="5"/>
      <c r="J315" s="5"/>
      <c r="K315" s="5"/>
      <c r="L315" s="5"/>
      <c r="M315" s="5"/>
      <c r="N315" s="5"/>
      <c r="O315" s="5"/>
      <c r="P315" s="5"/>
      <c r="Q315" s="5"/>
      <c r="R315" s="5"/>
      <c r="S315" s="5"/>
      <c r="T315" s="5"/>
      <c r="U315" s="5"/>
      <c r="V315" s="5"/>
      <c r="W315" s="5"/>
      <c r="X315" s="5"/>
      <c r="Y315" s="5"/>
      <c r="Z315" s="5"/>
    </row>
    <row r="316" spans="1:26" ht="12.5" x14ac:dyDescent="0.25">
      <c r="A316" s="5" t="s">
        <v>778</v>
      </c>
      <c r="B316" s="5" t="str">
        <f ca="1">IFERROR(__xludf.DUMMYFUNCTION("AI(""Fill an appropriate value for this cell based on the table context"")"),"having or showing determined courage in the face of difficulties")</f>
        <v>having or showing determined courage in the face of difficulties</v>
      </c>
      <c r="C316" s="5" t="str">
        <f ca="1">IFERROR(__xludf.DUMMYFUNCTION("AI(""Fill an appropriate value for this cell based on the table context"")"),"courageous, brave, fearless")</f>
        <v>courageous, brave, fearless</v>
      </c>
      <c r="D316" s="5" t="str">
        <f ca="1">IFERROR(__xludf.DUMMYFUNCTION("AI(""Fill an appropriate value for this cell based on the table context"")"),"The plucky teenager refused to give up during her long battle against the illness.")</f>
        <v>The plucky teenager refused to give up during her long battle against the illness.</v>
      </c>
      <c r="E316" s="5"/>
      <c r="F316" s="5"/>
      <c r="G316" s="5"/>
      <c r="H316" s="5"/>
      <c r="I316" s="5"/>
      <c r="J316" s="5"/>
      <c r="K316" s="5"/>
      <c r="L316" s="5"/>
      <c r="M316" s="5"/>
      <c r="N316" s="5"/>
      <c r="O316" s="5"/>
      <c r="P316" s="5"/>
      <c r="Q316" s="5"/>
      <c r="R316" s="5"/>
      <c r="S316" s="5"/>
      <c r="T316" s="5"/>
      <c r="U316" s="5"/>
      <c r="V316" s="5"/>
      <c r="W316" s="5"/>
      <c r="X316" s="5"/>
      <c r="Y316" s="5"/>
      <c r="Z316" s="5"/>
    </row>
    <row r="317" spans="1:26" ht="12.5" x14ac:dyDescent="0.25">
      <c r="A317" s="5" t="s">
        <v>779</v>
      </c>
      <c r="B317" s="5" t="str">
        <f ca="1">IFERROR(__xludf.DUMMYFUNCTION("AI(""Fill an appropriate value for this cell based on the table context"")"),"a beginner or novice")</f>
        <v>a beginner or novice</v>
      </c>
      <c r="C317" s="5" t="str">
        <f ca="1">IFERROR(__xludf.DUMMYFUNCTION("AI(""Fill an appropriate value for this cell based on the table context"")"),"novice, beginner, newcomer")</f>
        <v>novice, beginner, newcomer</v>
      </c>
      <c r="D317" s="5" t="str">
        <f ca="1">IFERROR(__xludf.DUMMYFUNCTION("AI(""Fill an appropriate value for this cell based on the table context"")"),"The neophyte hiker struggled with the challenging trails but learned quickly from his friends.")</f>
        <v>The neophyte hiker struggled with the challenging trails but learned quickly from his friends.</v>
      </c>
      <c r="E317" s="5"/>
      <c r="F317" s="5"/>
      <c r="G317" s="5"/>
      <c r="H317" s="5"/>
      <c r="I317" s="5"/>
      <c r="J317" s="5"/>
      <c r="K317" s="5"/>
      <c r="L317" s="5"/>
      <c r="M317" s="5"/>
      <c r="N317" s="5"/>
      <c r="O317" s="5"/>
      <c r="P317" s="5"/>
      <c r="Q317" s="5"/>
      <c r="R317" s="5"/>
      <c r="S317" s="5"/>
      <c r="T317" s="5"/>
      <c r="U317" s="5"/>
      <c r="V317" s="5"/>
      <c r="W317" s="5"/>
      <c r="X317" s="5"/>
      <c r="Y317" s="5"/>
      <c r="Z317" s="5"/>
    </row>
    <row r="318" spans="1:26" ht="12.5" x14ac:dyDescent="0.25">
      <c r="A318" s="5" t="s">
        <v>780</v>
      </c>
      <c r="B318" s="5" t="str">
        <f ca="1">IFERROR(__xludf.DUMMYFUNCTION("AI(""Fill an appropriate value for this cell based on the table context"")"),"an artificial and inferior substitute or imitation")</f>
        <v>an artificial and inferior substitute or imitation</v>
      </c>
      <c r="C318" s="5" t="str">
        <f ca="1">IFERROR(__xludf.DUMMYFUNCTION("AI(""Fill an appropriate value for this cell based on the table context"")"),"artificial, substitute, imitation")</f>
        <v>artificial, substitute, imitation</v>
      </c>
      <c r="D318" s="5" t="str">
        <f ca="1">IFERROR(__xludf.DUMMYFUNCTION("AI(""Fill an appropriate value for this cell based on the table context"")"),"The restaurant served an ersatz chocolate made from carob beans.")</f>
        <v>The restaurant served an ersatz chocolate made from carob beans.</v>
      </c>
      <c r="E318" s="5"/>
      <c r="F318" s="5"/>
      <c r="G318" s="5"/>
      <c r="H318" s="5"/>
      <c r="I318" s="5"/>
      <c r="J318" s="5"/>
      <c r="K318" s="5"/>
      <c r="L318" s="5"/>
      <c r="M318" s="5"/>
      <c r="N318" s="5"/>
      <c r="O318" s="5"/>
      <c r="P318" s="5"/>
      <c r="Q318" s="5"/>
      <c r="R318" s="5"/>
      <c r="S318" s="5"/>
      <c r="T318" s="5"/>
      <c r="U318" s="5"/>
      <c r="V318" s="5"/>
      <c r="W318" s="5"/>
      <c r="X318" s="5"/>
      <c r="Y318" s="5"/>
      <c r="Z318" s="5"/>
    </row>
    <row r="319" spans="1:26" ht="12.5" x14ac:dyDescent="0.25">
      <c r="A319" s="5" t="s">
        <v>781</v>
      </c>
      <c r="B319" s="5" t="str">
        <f ca="1">IFERROR(__xludf.DUMMYFUNCTION("AI(""Fill an appropriate value for this cell based on the table context"")"),"showing dedication and diligence; persistent")</f>
        <v>showing dedication and diligence; persistent</v>
      </c>
      <c r="C319" s="5" t="str">
        <f ca="1">IFERROR(__xludf.DUMMYFUNCTION("AI(""Fill an appropriate value for this cell based on the table context"")"),"diligent, assiduous, industrious")</f>
        <v>diligent, assiduous, industrious</v>
      </c>
      <c r="D319" s="5" t="str">
        <f ca="1">IFERROR(__xludf.DUMMYFUNCTION("AI(""Fill an appropriate value for this cell based on the table context"")"),"The sedulous student spent hours meticulously studying for the exam.")</f>
        <v>The sedulous student spent hours meticulously studying for the exam.</v>
      </c>
      <c r="E319" s="5"/>
      <c r="F319" s="5"/>
      <c r="G319" s="5"/>
      <c r="H319" s="5"/>
      <c r="I319" s="5"/>
      <c r="J319" s="5"/>
      <c r="K319" s="5"/>
      <c r="L319" s="5"/>
      <c r="M319" s="5"/>
      <c r="N319" s="5"/>
      <c r="O319" s="5"/>
      <c r="P319" s="5"/>
      <c r="Q319" s="5"/>
      <c r="R319" s="5"/>
      <c r="S319" s="5"/>
      <c r="T319" s="5"/>
      <c r="U319" s="5"/>
      <c r="V319" s="5"/>
      <c r="W319" s="5"/>
      <c r="X319" s="5"/>
      <c r="Y319" s="5"/>
      <c r="Z319" s="5"/>
    </row>
    <row r="320" spans="1:26" ht="12.5" x14ac:dyDescent="0.25">
      <c r="A320" s="5" t="s">
        <v>782</v>
      </c>
      <c r="B320" s="5" t="str">
        <f ca="1">IFERROR(__xludf.DUMMYFUNCTION("AI(""Fill an appropriate value for this cell based on the table context"")"),"showing great care, attention, and effort")</f>
        <v>showing great care, attention, and effort</v>
      </c>
      <c r="C320" s="5" t="str">
        <f ca="1">IFERROR(__xludf.DUMMYFUNCTION("AI(""Fill an appropriate value for this cell based on the table context"")"),"diligent, industrious, sedulous")</f>
        <v>diligent, industrious, sedulous</v>
      </c>
      <c r="D320" s="5" t="str">
        <f ca="1">IFERROR(__xludf.DUMMYFUNCTION("AI(""Fill an appropriate value for this cell based on the table context"")"),"The assiduous student spent hours preparing for the final exam.")</f>
        <v>The assiduous student spent hours preparing for the final exam.</v>
      </c>
      <c r="E320" s="5"/>
      <c r="F320" s="5"/>
      <c r="G320" s="5"/>
      <c r="H320" s="5"/>
      <c r="I320" s="5"/>
      <c r="J320" s="5"/>
      <c r="K320" s="5"/>
      <c r="L320" s="5"/>
      <c r="M320" s="5"/>
      <c r="N320" s="5"/>
      <c r="O320" s="5"/>
      <c r="P320" s="5"/>
      <c r="Q320" s="5"/>
      <c r="R320" s="5"/>
      <c r="S320" s="5"/>
      <c r="T320" s="5"/>
      <c r="U320" s="5"/>
      <c r="V320" s="5"/>
      <c r="W320" s="5"/>
      <c r="X320" s="5"/>
      <c r="Y320" s="5"/>
      <c r="Z320" s="5"/>
    </row>
    <row r="321" spans="1:26" ht="12.5" x14ac:dyDescent="0.25">
      <c r="A321" s="5" t="s">
        <v>783</v>
      </c>
      <c r="B321" s="5" t="str">
        <f ca="1">IFERROR(__xludf.DUMMYFUNCTION("AI(""Fill an appropriate value for this cell based on the table context"")"),"strongly expressing opinions or beliefs as if they were facts")</f>
        <v>strongly expressing opinions or beliefs as if they were facts</v>
      </c>
      <c r="C321" s="5" t="str">
        <f ca="1">IFERROR(__xludf.DUMMYFUNCTION("AI(""Fill an appropriate value for this cell based on the table context"")"),"dictatorial, opinionated, doctrinaire")</f>
        <v>dictatorial, opinionated, doctrinaire</v>
      </c>
      <c r="D321" s="5" t="str">
        <f ca="1">IFERROR(__xludf.DUMMYFUNCTION("AI(""Fill an appropriate value for this cell based on the table context"")"),"The dogmatic professor rarely accepted new ideas, insisting that his theories were the only valid ones.")</f>
        <v>The dogmatic professor rarely accepted new ideas, insisting that his theories were the only valid ones.</v>
      </c>
      <c r="E321" s="5"/>
      <c r="F321" s="5"/>
      <c r="G321" s="5"/>
      <c r="H321" s="5"/>
      <c r="I321" s="5"/>
      <c r="J321" s="5"/>
      <c r="K321" s="5"/>
      <c r="L321" s="5"/>
      <c r="M321" s="5"/>
      <c r="N321" s="5"/>
      <c r="O321" s="5"/>
      <c r="P321" s="5"/>
      <c r="Q321" s="5"/>
      <c r="R321" s="5"/>
      <c r="S321" s="5"/>
      <c r="T321" s="5"/>
      <c r="U321" s="5"/>
      <c r="V321" s="5"/>
      <c r="W321" s="5"/>
      <c r="X321" s="5"/>
      <c r="Y321" s="5"/>
      <c r="Z321" s="5"/>
    </row>
    <row r="322" spans="1:26" ht="12.5" x14ac:dyDescent="0.25">
      <c r="A322" s="5" t="s">
        <v>784</v>
      </c>
      <c r="B322" s="5" t="str">
        <f ca="1">IFERROR(__xludf.DUMMYFUNCTION("AI(""Fill an appropriate value for this cell based on the table context"")"),"stubbornly devoted to a doctrine or theory without regard to practical considerations")</f>
        <v>stubbornly devoted to a doctrine or theory without regard to practical considerations</v>
      </c>
      <c r="C322" s="5" t="str">
        <f ca="1">IFERROR(__xludf.DUMMYFUNCTION("AI(""Fill an appropriate value for this cell based on the table context"")"),"dogmatic, rigid, inflexible")</f>
        <v>dogmatic, rigid, inflexible</v>
      </c>
      <c r="D322" s="5" t="str">
        <f ca="1">IFERROR(__xludf.DUMMYFUNCTION("AI(""Fill an appropriate value for this cell based on the table context"")"),"He has a somewhat doctrinaire approach to running the company.")</f>
        <v>He has a somewhat doctrinaire approach to running the company.</v>
      </c>
      <c r="E322" s="5"/>
      <c r="F322" s="5"/>
      <c r="G322" s="5"/>
      <c r="H322" s="5"/>
      <c r="I322" s="5"/>
      <c r="J322" s="5"/>
      <c r="K322" s="5"/>
      <c r="L322" s="5"/>
      <c r="M322" s="5"/>
      <c r="N322" s="5"/>
      <c r="O322" s="5"/>
      <c r="P322" s="5"/>
      <c r="Q322" s="5"/>
      <c r="R322" s="5"/>
      <c r="S322" s="5"/>
      <c r="T322" s="5"/>
      <c r="U322" s="5"/>
      <c r="V322" s="5"/>
      <c r="W322" s="5"/>
      <c r="X322" s="5"/>
      <c r="Y322" s="5"/>
      <c r="Z322" s="5"/>
    </row>
    <row r="323" spans="1:26" ht="12.5" x14ac:dyDescent="0.25">
      <c r="A323" s="5" t="s">
        <v>785</v>
      </c>
      <c r="B323" s="5" t="str">
        <f ca="1">IFERROR(__xludf.DUMMYFUNCTION("AI(""Fill an appropriate value for this cell based on the table context"")"),"a trite or unoriginal remark, idea, or platitude intended to soothe or calm")</f>
        <v>a trite or unoriginal remark, idea, or platitude intended to soothe or calm</v>
      </c>
      <c r="C323" s="5" t="str">
        <f ca="1">IFERROR(__xludf.DUMMYFUNCTION("AI(""Fill an appropriate value for this cell based on the table context"")"),"platitude, cliché, truism")</f>
        <v>platitude, cliché, truism</v>
      </c>
      <c r="D323" s="5" t="str">
        <f ca="1">IFERROR(__xludf.DUMMYFUNCTION("AI(""Fill an appropriate value for this cell based on the table context"")"),"Instead of offering real solutions, the speaker relied on empty bromides to reassure the crowd.")</f>
        <v>Instead of offering real solutions, the speaker relied on empty bromides to reassure the crowd.</v>
      </c>
      <c r="E323" s="5"/>
      <c r="F323" s="5"/>
      <c r="G323" s="5"/>
      <c r="H323" s="5"/>
      <c r="I323" s="5"/>
      <c r="J323" s="5"/>
      <c r="K323" s="5"/>
      <c r="L323" s="5"/>
      <c r="M323" s="5"/>
      <c r="N323" s="5"/>
      <c r="O323" s="5"/>
      <c r="P323" s="5"/>
      <c r="Q323" s="5"/>
      <c r="R323" s="5"/>
      <c r="S323" s="5"/>
      <c r="T323" s="5"/>
      <c r="U323" s="5"/>
      <c r="V323" s="5"/>
      <c r="W323" s="5"/>
      <c r="X323" s="5"/>
      <c r="Y323" s="5"/>
      <c r="Z323" s="5"/>
    </row>
    <row r="324" spans="1:26" ht="12.5" x14ac:dyDescent="0.25">
      <c r="A324" s="5" t="s">
        <v>786</v>
      </c>
      <c r="B324" s="5" t="str">
        <f ca="1">IFERROR(__xludf.DUMMYFUNCTION("AI(""Fill an appropriate value for this cell based on the table context"")"),"a statement that is obviously true and says nothing new or interesting")</f>
        <v>a statement that is obviously true and says nothing new or interesting</v>
      </c>
      <c r="C324" s="5" t="str">
        <f ca="1">IFERROR(__xludf.DUMMYFUNCTION("AI(""Fill an appropriate value for this cell based on the table context"")"),"cliché, platitude, banality, axiom")</f>
        <v>cliché, platitude, banality, axiom</v>
      </c>
      <c r="D324" s="5" t="str">
        <f ca="1">IFERROR(__xludf.DUMMYFUNCTION("AI(""Fill an appropriate value for this cell based on the table context"")"),"Saying that practice makes perfect is a well-known truism, but it still holds true.")</f>
        <v>Saying that practice makes perfect is a well-known truism, but it still holds true.</v>
      </c>
      <c r="E324" s="5"/>
      <c r="F324" s="5"/>
      <c r="G324" s="5"/>
      <c r="H324" s="5"/>
      <c r="I324" s="5"/>
      <c r="J324" s="5"/>
      <c r="K324" s="5"/>
      <c r="L324" s="5"/>
      <c r="M324" s="5"/>
      <c r="N324" s="5"/>
      <c r="O324" s="5"/>
      <c r="P324" s="5"/>
      <c r="Q324" s="5"/>
      <c r="R324" s="5"/>
      <c r="S324" s="5"/>
      <c r="T324" s="5"/>
      <c r="U324" s="5"/>
      <c r="V324" s="5"/>
      <c r="W324" s="5"/>
      <c r="X324" s="5"/>
      <c r="Y324" s="5"/>
      <c r="Z324" s="5"/>
    </row>
    <row r="325" spans="1:26" ht="12.5" x14ac:dyDescent="0.25">
      <c r="A325" s="5" t="s">
        <v>787</v>
      </c>
      <c r="B325" s="5" t="str">
        <f ca="1">IFERROR(__xludf.DUMMYFUNCTION("AI(""Fill an appropriate value for this cell based on the table context"")"),"the quality of being banal; unoriginality")</f>
        <v>the quality of being banal; unoriginality</v>
      </c>
      <c r="C325" s="5" t="str">
        <f ca="1">IFERROR(__xludf.DUMMYFUNCTION("AI(""Fill an appropriate value for this cell based on the table context"")"),"cliché, platitude, truism")</f>
        <v>cliché, platitude, truism</v>
      </c>
      <c r="D325" s="5" t="str">
        <f ca="1">IFERROR(__xludf.DUMMYFUNCTION("AI(""Fill an appropriate value for this cell based on the table context"")"),"The utter banality of the conversation made him yawn continuously.")</f>
        <v>The utter banality of the conversation made him yawn continuously.</v>
      </c>
      <c r="E325" s="5"/>
      <c r="F325" s="5"/>
      <c r="G325" s="5"/>
      <c r="H325" s="5"/>
      <c r="I325" s="5"/>
      <c r="J325" s="5"/>
      <c r="K325" s="5"/>
      <c r="L325" s="5"/>
      <c r="M325" s="5"/>
      <c r="N325" s="5"/>
      <c r="O325" s="5"/>
      <c r="P325" s="5"/>
      <c r="Q325" s="5"/>
      <c r="R325" s="5"/>
      <c r="S325" s="5"/>
      <c r="T325" s="5"/>
      <c r="U325" s="5"/>
      <c r="V325" s="5"/>
      <c r="W325" s="5"/>
      <c r="X325" s="5"/>
      <c r="Y325" s="5"/>
      <c r="Z325" s="5"/>
    </row>
    <row r="326" spans="1:26" ht="12.5" x14ac:dyDescent="0.25">
      <c r="A326" s="5" t="s">
        <v>788</v>
      </c>
      <c r="B326" s="5" t="str">
        <f ca="1">IFERROR(__xludf.DUMMYFUNCTION("AI(""Fill an appropriate value for this cell based on the table context"")"),"a statement or principle that is accepted as true without proof")</f>
        <v>a statement or principle that is accepted as true without proof</v>
      </c>
      <c r="C326" s="5" t="str">
        <f ca="1">IFERROR(__xludf.DUMMYFUNCTION("AI(""Fill an appropriate value for this cell based on the table context"")"),"postulate, principle, maxim")</f>
        <v>postulate, principle, maxim</v>
      </c>
      <c r="D326" s="5" t="str">
        <f ca="1">IFERROR(__xludf.DUMMYFUNCTION("AI(""Fill an appropriate value for this cell based on the table context"")"),"It is a widely accepted axiom that honesty is the best policy.")</f>
        <v>It is a widely accepted axiom that honesty is the best policy.</v>
      </c>
      <c r="E326" s="5"/>
      <c r="F326" s="5"/>
      <c r="G326" s="5"/>
      <c r="H326" s="5"/>
      <c r="I326" s="5"/>
      <c r="J326" s="5"/>
      <c r="K326" s="5"/>
      <c r="L326" s="5"/>
      <c r="M326" s="5"/>
      <c r="N326" s="5"/>
      <c r="O326" s="5"/>
      <c r="P326" s="5"/>
      <c r="Q326" s="5"/>
      <c r="R326" s="5"/>
      <c r="S326" s="5"/>
      <c r="T326" s="5"/>
      <c r="U326" s="5"/>
      <c r="V326" s="5"/>
      <c r="W326" s="5"/>
      <c r="X326" s="5"/>
      <c r="Y326" s="5"/>
      <c r="Z326" s="5"/>
    </row>
    <row r="327" spans="1:26" ht="12.5" x14ac:dyDescent="0.25">
      <c r="A327" s="5" t="s">
        <v>789</v>
      </c>
      <c r="B327" s="5" t="str">
        <f ca="1">IFERROR(__xludf.DUMMYFUNCTION("AI(""Fill an appropriate value for this cell based on the table context"")"),"prophetic, wise, or mysterious and difficult to understand")</f>
        <v>prophetic, wise, or mysterious and difficult to understand</v>
      </c>
      <c r="C327" s="5" t="str">
        <f ca="1">IFERROR(__xludf.DUMMYFUNCTION("AI(""Fill an appropriate value for this cell based on the table context"")"),"prophetic, cryptic, enigmatic")</f>
        <v>prophetic, cryptic, enigmatic</v>
      </c>
      <c r="D327" s="5" t="str">
        <f ca="1">IFERROR(__xludf.DUMMYFUNCTION("AI(""Fill an appropriate value for this cell based on the table context"")"),"The village elder offered his advice in a solemn, oracular tone that left everyone pondering its true meaning.")</f>
        <v>The village elder offered his advice in a solemn, oracular tone that left everyone pondering its true meaning.</v>
      </c>
      <c r="E327" s="5"/>
      <c r="F327" s="5"/>
      <c r="G327" s="5"/>
      <c r="H327" s="5"/>
      <c r="I327" s="5"/>
      <c r="J327" s="5"/>
      <c r="K327" s="5"/>
      <c r="L327" s="5"/>
      <c r="M327" s="5"/>
      <c r="N327" s="5"/>
      <c r="O327" s="5"/>
      <c r="P327" s="5"/>
      <c r="Q327" s="5"/>
      <c r="R327" s="5"/>
      <c r="S327" s="5"/>
      <c r="T327" s="5"/>
      <c r="U327" s="5"/>
      <c r="V327" s="5"/>
      <c r="W327" s="5"/>
      <c r="X327" s="5"/>
      <c r="Y327" s="5"/>
      <c r="Z327" s="5"/>
    </row>
    <row r="328" spans="1:26" ht="12.5" x14ac:dyDescent="0.25">
      <c r="A328" s="5" t="s">
        <v>790</v>
      </c>
      <c r="B328" s="5" t="str">
        <f ca="1">IFERROR(__xludf.DUMMYFUNCTION("AI(""Fill an appropriate value for this cell based on the table context"")"),"a short statement expressing a general truth or rule of conduct")</f>
        <v>a short statement expressing a general truth or rule of conduct</v>
      </c>
      <c r="C328" s="5" t="str">
        <f ca="1">IFERROR(__xludf.DUMMYFUNCTION("AI(""Fill an appropriate value for this cell based on the table context"")"),"adage, aphorism, proverb")</f>
        <v>adage, aphorism, proverb</v>
      </c>
      <c r="D328" s="5" t="str">
        <f ca="1">IFERROR(__xludf.DUMMYFUNCTION("AI(""Fill an appropriate value for this cell based on the table context"")"),"She lived by the old maxim that honesty is always the best policy.")</f>
        <v>She lived by the old maxim that honesty is always the best policy.</v>
      </c>
      <c r="E328" s="5"/>
      <c r="F328" s="5"/>
      <c r="G328" s="5"/>
      <c r="H328" s="5"/>
      <c r="I328" s="5"/>
      <c r="J328" s="5"/>
      <c r="K328" s="5"/>
      <c r="L328" s="5"/>
      <c r="M328" s="5"/>
      <c r="N328" s="5"/>
      <c r="O328" s="5"/>
      <c r="P328" s="5"/>
      <c r="Q328" s="5"/>
      <c r="R328" s="5"/>
      <c r="S328" s="5"/>
      <c r="T328" s="5"/>
      <c r="U328" s="5"/>
      <c r="V328" s="5"/>
      <c r="W328" s="5"/>
      <c r="X328" s="5"/>
      <c r="Y328" s="5"/>
      <c r="Z328" s="5"/>
    </row>
    <row r="329" spans="1:26" ht="12.5" x14ac:dyDescent="0.25">
      <c r="A329" s="5" t="s">
        <v>791</v>
      </c>
      <c r="B329" s="5" t="str">
        <f ca="1">IFERROR(__xludf.DUMMYFUNCTION("AI(""Fill an appropriate value for this cell based on the table context"")"),"suggest or assume the existence or truth of something as a basis for reasoning")</f>
        <v>suggest or assume the existence or truth of something as a basis for reasoning</v>
      </c>
      <c r="C329" s="5" t="str">
        <f ca="1">IFERROR(__xludf.DUMMYFUNCTION("AI(""Fill an appropriate value for this cell based on the table context"")"),"posit, assume, hypothesize")</f>
        <v>posit, assume, hypothesize</v>
      </c>
      <c r="D329" s="5" t="str">
        <f ca="1">IFERROR(__xludf.DUMMYFUNCTION("AI(""Fill an appropriate value for this cell based on the table context"")"),"Scientists postulate that the newly discovered planet may support life.")</f>
        <v>Scientists postulate that the newly discovered planet may support life.</v>
      </c>
      <c r="E329" s="5"/>
      <c r="F329" s="5"/>
      <c r="G329" s="5"/>
      <c r="H329" s="5"/>
      <c r="I329" s="5"/>
      <c r="J329" s="5"/>
      <c r="K329" s="5"/>
      <c r="L329" s="5"/>
      <c r="M329" s="5"/>
      <c r="N329" s="5"/>
      <c r="O329" s="5"/>
      <c r="P329" s="5"/>
      <c r="Q329" s="5"/>
      <c r="R329" s="5"/>
      <c r="S329" s="5"/>
      <c r="T329" s="5"/>
      <c r="U329" s="5"/>
      <c r="V329" s="5"/>
      <c r="W329" s="5"/>
      <c r="X329" s="5"/>
      <c r="Y329" s="5"/>
      <c r="Z329" s="5"/>
    </row>
    <row r="330" spans="1:26" ht="12.5" x14ac:dyDescent="0.25">
      <c r="A330" s="5" t="s">
        <v>792</v>
      </c>
      <c r="B330" s="5" t="str">
        <f ca="1">IFERROR(__xludf.DUMMYFUNCTION("AI(""Fill an appropriate value for this cell based on the table context"")"),"official permission or approval; a penalty for disobeying a law or rule")</f>
        <v>official permission or approval; a penalty for disobeying a law or rule</v>
      </c>
      <c r="C330" s="5" t="str">
        <f ca="1">IFERROR(__xludf.DUMMYFUNCTION("AI(""Fill an appropriate value for this cell based on the table context"")"),"authorize, approve, endorse")</f>
        <v>authorize, approve, endorse</v>
      </c>
      <c r="D330" s="5" t="str">
        <f ca="1">IFERROR(__xludf.DUMMYFUNCTION("AI(""Fill an appropriate value for this cell based on the table context"")"),"The government refused to sanction the construction project without prior environmental approval.")</f>
        <v>The government refused to sanction the construction project without prior environmental approval.</v>
      </c>
      <c r="E330" s="5"/>
      <c r="F330" s="5"/>
      <c r="G330" s="5"/>
      <c r="H330" s="5"/>
      <c r="I330" s="5"/>
      <c r="J330" s="5"/>
      <c r="K330" s="5"/>
      <c r="L330" s="5"/>
      <c r="M330" s="5"/>
      <c r="N330" s="5"/>
      <c r="O330" s="5"/>
      <c r="P330" s="5"/>
      <c r="Q330" s="5"/>
      <c r="R330" s="5"/>
      <c r="S330" s="5"/>
      <c r="T330" s="5"/>
      <c r="U330" s="5"/>
      <c r="V330" s="5"/>
      <c r="W330" s="5"/>
      <c r="X330" s="5"/>
      <c r="Y330" s="5"/>
      <c r="Z330" s="5"/>
    </row>
    <row r="331" spans="1:26" ht="12.5" x14ac:dyDescent="0.25">
      <c r="A331" s="5" t="s">
        <v>793</v>
      </c>
      <c r="B331" s="5" t="str">
        <f ca="1">IFERROR(__xludf.DUMMYFUNCTION("AI(""Fill an appropriate value for this cell based on the table context"")"),"lasting for a short time; quickly fading or vanishing")</f>
        <v>lasting for a short time; quickly fading or vanishing</v>
      </c>
      <c r="C331" s="5" t="str">
        <f ca="1">IFERROR(__xludf.DUMMYFUNCTION("AI(""Fill an appropriate value for this cell based on the table context"")"),"fleeting, transient, ephemeral")</f>
        <v>fleeting, transient, ephemeral</v>
      </c>
      <c r="D331" s="5" t="str">
        <f ca="1">IFERROR(__xludf.DUMMYFUNCTION("AI(""Fill an appropriate value for this cell based on the table context"")"),"The lightning was evanescent and disappeared just as quickly as it appeared.")</f>
        <v>The lightning was evanescent and disappeared just as quickly as it appeared.</v>
      </c>
      <c r="E331" s="5"/>
      <c r="F331" s="5"/>
      <c r="G331" s="5"/>
      <c r="H331" s="5"/>
      <c r="I331" s="5"/>
      <c r="J331" s="5"/>
      <c r="K331" s="5"/>
      <c r="L331" s="5"/>
      <c r="M331" s="5"/>
      <c r="N331" s="5"/>
      <c r="O331" s="5"/>
      <c r="P331" s="5"/>
      <c r="Q331" s="5"/>
      <c r="R331" s="5"/>
      <c r="S331" s="5"/>
      <c r="T331" s="5"/>
      <c r="U331" s="5"/>
      <c r="V331" s="5"/>
      <c r="W331" s="5"/>
      <c r="X331" s="5"/>
      <c r="Y331" s="5"/>
      <c r="Z331" s="5"/>
    </row>
    <row r="332" spans="1:26" ht="12.5" x14ac:dyDescent="0.25">
      <c r="A332" s="5" t="s">
        <v>794</v>
      </c>
      <c r="B332" s="5" t="str">
        <f ca="1">IFERROR(__xludf.DUMMYFUNCTION("AI(""Fill an appropriate value for this cell based on the table context"")"),"deny or contradict something")</f>
        <v>deny or contradict something</v>
      </c>
      <c r="C332" s="5" t="str">
        <f ca="1">IFERROR(__xludf.DUMMYFUNCTION("AI(""Fill an appropriate value for this cell based on the table context"")"),"deny, contradict, dispute")</f>
        <v>deny, contradict, dispute</v>
      </c>
      <c r="D332" s="5" t="str">
        <f ca="1">IFERROR(__xludf.DUMMYFUNCTION("AI(""Fill an appropriate value for this cell based on the table context"")"),"No one could gainsay the overwhelming evidence presented during the trial.")</f>
        <v>No one could gainsay the overwhelming evidence presented during the trial.</v>
      </c>
      <c r="E332" s="5"/>
      <c r="F332" s="5"/>
      <c r="G332" s="5"/>
      <c r="H332" s="5"/>
      <c r="I332" s="5"/>
      <c r="J332" s="5"/>
      <c r="K332" s="5"/>
      <c r="L332" s="5"/>
      <c r="M332" s="5"/>
      <c r="N332" s="5"/>
      <c r="O332" s="5"/>
      <c r="P332" s="5"/>
      <c r="Q332" s="5"/>
      <c r="R332" s="5"/>
      <c r="S332" s="5"/>
      <c r="T332" s="5"/>
      <c r="U332" s="5"/>
      <c r="V332" s="5"/>
      <c r="W332" s="5"/>
      <c r="X332" s="5"/>
      <c r="Y332" s="5"/>
      <c r="Z332" s="5"/>
    </row>
    <row r="333" spans="1:26" ht="12.5" x14ac:dyDescent="0.25">
      <c r="A333" s="5" t="s">
        <v>795</v>
      </c>
      <c r="B333" s="5" t="str">
        <f ca="1">IFERROR(__xludf.DUMMYFUNCTION("AI(""Fill an appropriate value for this cell based on the table context"")"),"causing irritation or annoyance")</f>
        <v>causing irritation or annoyance</v>
      </c>
      <c r="C333" s="5" t="str">
        <f ca="1">IFERROR(__xludf.DUMMYFUNCTION("AI(""Fill an appropriate value for this cell based on the table context"")"),"annoying, irritating, vexing")</f>
        <v>annoying, irritating, vexing</v>
      </c>
      <c r="D333" s="5" t="str">
        <f ca="1">IFERROR(__xludf.DUMMYFUNCTION("AI(""Fill an appropriate value for this cell based on the table context"")"),"There were a few nettlesome details that still required attention.")</f>
        <v>There were a few nettlesome details that still required attention.</v>
      </c>
      <c r="E333" s="5"/>
      <c r="F333" s="5"/>
      <c r="G333" s="5"/>
      <c r="H333" s="5"/>
      <c r="I333" s="5"/>
      <c r="J333" s="5"/>
      <c r="K333" s="5"/>
      <c r="L333" s="5"/>
      <c r="M333" s="5"/>
      <c r="N333" s="5"/>
      <c r="O333" s="5"/>
      <c r="P333" s="5"/>
      <c r="Q333" s="5"/>
      <c r="R333" s="5"/>
      <c r="S333" s="5"/>
      <c r="T333" s="5"/>
      <c r="U333" s="5"/>
      <c r="V333" s="5"/>
      <c r="W333" s="5"/>
      <c r="X333" s="5"/>
      <c r="Y333" s="5"/>
      <c r="Z333" s="5"/>
    </row>
    <row r="334" spans="1:26" ht="12.5" x14ac:dyDescent="0.25">
      <c r="A334" s="5" t="s">
        <v>796</v>
      </c>
      <c r="B334" s="5" t="str">
        <f ca="1">IFERROR(__xludf.DUMMYFUNCTION("AI(""Fill an appropriate value for this cell based on the table context"")"),"remove a difficulty or make something unnecessary")</f>
        <v>remove a difficulty or make something unnecessary</v>
      </c>
      <c r="C334" s="5" t="str">
        <f ca="1">IFERROR(__xludf.DUMMYFUNCTION("AI(""Fill an appropriate value for this cell based on the table context"")"),"preclude, avert, prevent")</f>
        <v>preclude, avert, prevent</v>
      </c>
      <c r="D334" s="5" t="str">
        <f ca="1">IFERROR(__xludf.DUMMYFUNCTION("AI(""Fill an appropriate value for this cell based on the table context"")"),"The new medical treatment helped to obviate the need for surgery.")</f>
        <v>The new medical treatment helped to obviate the need for surgery.</v>
      </c>
      <c r="E334" s="5"/>
      <c r="F334" s="5"/>
      <c r="G334" s="5"/>
      <c r="H334" s="5"/>
      <c r="I334" s="5"/>
      <c r="J334" s="5"/>
      <c r="K334" s="5"/>
      <c r="L334" s="5"/>
      <c r="M334" s="5"/>
      <c r="N334" s="5"/>
      <c r="O334" s="5"/>
      <c r="P334" s="5"/>
      <c r="Q334" s="5"/>
      <c r="R334" s="5"/>
      <c r="S334" s="5"/>
      <c r="T334" s="5"/>
      <c r="U334" s="5"/>
      <c r="V334" s="5"/>
      <c r="W334" s="5"/>
      <c r="X334" s="5"/>
      <c r="Y334" s="5"/>
      <c r="Z334" s="5"/>
    </row>
    <row r="335" spans="1:26" ht="12.5" x14ac:dyDescent="0.25">
      <c r="A335" s="5" t="s">
        <v>797</v>
      </c>
      <c r="B335" s="5" t="str">
        <f ca="1">IFERROR(__xludf.DUMMYFUNCTION("AI(""Fill an appropriate value for this cell based on the table context"")"),"deliberate breach of faith or trust; treachery")</f>
        <v>deliberate breach of faith or trust; treachery</v>
      </c>
      <c r="C335" s="5" t="str">
        <f ca="1">IFERROR(__xludf.DUMMYFUNCTION("AI(""Fill an appropriate value for this cell based on the table context"")"),"treachery, deceit, betrayal")</f>
        <v>treachery, deceit, betrayal</v>
      </c>
      <c r="D335" s="5" t="str">
        <f ca="1">IFERROR(__xludf.DUMMYFUNCTION("AI(""Fill an appropriate value for this cell based on the table context"")"),"His perfidy was exposed when the secret plans were leaked to the rival company.")</f>
        <v>His perfidy was exposed when the secret plans were leaked to the rival company.</v>
      </c>
      <c r="E335" s="5"/>
      <c r="F335" s="5"/>
      <c r="G335" s="5"/>
      <c r="H335" s="5"/>
      <c r="I335" s="5"/>
      <c r="J335" s="5"/>
      <c r="K335" s="5"/>
      <c r="L335" s="5"/>
      <c r="M335" s="5"/>
      <c r="N335" s="5"/>
      <c r="O335" s="5"/>
      <c r="P335" s="5"/>
      <c r="Q335" s="5"/>
      <c r="R335" s="5"/>
      <c r="S335" s="5"/>
      <c r="T335" s="5"/>
      <c r="U335" s="5"/>
      <c r="V335" s="5"/>
      <c r="W335" s="5"/>
      <c r="X335" s="5"/>
      <c r="Y335" s="5"/>
      <c r="Z335" s="5"/>
    </row>
    <row r="336" spans="1:26" ht="12.5" x14ac:dyDescent="0.25">
      <c r="A336" s="5" t="s">
        <v>798</v>
      </c>
      <c r="B336" s="5" t="str">
        <f ca="1">IFERROR(__xludf.DUMMYFUNCTION("AI(""Fill an appropriate value for this cell based on the table context"")"),"plentiful, abundant, or given in large quantities")</f>
        <v>plentiful, abundant, or given in large quantities</v>
      </c>
      <c r="C336" s="5" t="str">
        <f ca="1">IFERROR(__xludf.DUMMYFUNCTION("AI(""Fill an appropriate value for this cell based on the table context"")"),"abundant, lavish, copious")</f>
        <v>abundant, lavish, copious</v>
      </c>
      <c r="D336" s="5" t="str">
        <f ca="1">IFERROR(__xludf.DUMMYFUNCTION("AI(""Fill an appropriate value for this cell based on the table context"")"),"She offered her profuse apologies for arriving late to the meeting.")</f>
        <v>She offered her profuse apologies for arriving late to the meeting.</v>
      </c>
      <c r="E336" s="5"/>
      <c r="F336" s="5"/>
      <c r="G336" s="5"/>
      <c r="H336" s="5"/>
      <c r="I336" s="5"/>
      <c r="J336" s="5"/>
      <c r="K336" s="5"/>
      <c r="L336" s="5"/>
      <c r="M336" s="5"/>
      <c r="N336" s="5"/>
      <c r="O336" s="5"/>
      <c r="P336" s="5"/>
      <c r="Q336" s="5"/>
      <c r="R336" s="5"/>
      <c r="S336" s="5"/>
      <c r="T336" s="5"/>
      <c r="U336" s="5"/>
      <c r="V336" s="5"/>
      <c r="W336" s="5"/>
      <c r="X336" s="5"/>
      <c r="Y336" s="5"/>
      <c r="Z336" s="5"/>
    </row>
    <row r="337" spans="1:26" ht="12.5" x14ac:dyDescent="0.25">
      <c r="A337" s="5" t="s">
        <v>799</v>
      </c>
      <c r="B337" s="5" t="str">
        <f ca="1">IFERROR(__xludf.DUMMYFUNCTION("AI(""Fill an appropriate value for this cell based on the table context"")"),"eager or quick to argue, quarrel, or fight")</f>
        <v>eager or quick to argue, quarrel, or fight</v>
      </c>
      <c r="C337" s="5" t="str">
        <f ca="1">IFERROR(__xludf.DUMMYFUNCTION("AI(""Fill an appropriate value for this cell based on the table context"")"),"belligerent, combative, quarrelsome")</f>
        <v>belligerent, combative, quarrelsome</v>
      </c>
      <c r="D337" s="5" t="str">
        <f ca="1">IFERROR(__xludf.DUMMYFUNCTION("AI(""Fill an appropriate value for this cell based on the table context"")"),"The pugnacious little boy constantly talks back to his mother.")</f>
        <v>The pugnacious little boy constantly talks back to his mother.</v>
      </c>
      <c r="E337" s="5"/>
      <c r="F337" s="5"/>
      <c r="G337" s="5"/>
      <c r="H337" s="5"/>
      <c r="I337" s="5"/>
      <c r="J337" s="5"/>
      <c r="K337" s="5"/>
      <c r="L337" s="5"/>
      <c r="M337" s="5"/>
      <c r="N337" s="5"/>
      <c r="O337" s="5"/>
      <c r="P337" s="5"/>
      <c r="Q337" s="5"/>
      <c r="R337" s="5"/>
      <c r="S337" s="5"/>
      <c r="T337" s="5"/>
      <c r="U337" s="5"/>
      <c r="V337" s="5"/>
      <c r="W337" s="5"/>
      <c r="X337" s="5"/>
      <c r="Y337" s="5"/>
      <c r="Z337" s="5"/>
    </row>
    <row r="338" spans="1:26" ht="12.5" x14ac:dyDescent="0.25">
      <c r="A338" s="5" t="s">
        <v>800</v>
      </c>
      <c r="B338" s="5" t="str">
        <f ca="1">IFERROR(__xludf.DUMMYFUNCTION("AI(""Fill an appropriate value for this cell based on the table context"")"),"having or showing keen discernment, sound judgment, and wisdom")</f>
        <v>having or showing keen discernment, sound judgment, and wisdom</v>
      </c>
      <c r="C338" s="5" t="str">
        <f ca="1">IFERROR(__xludf.DUMMYFUNCTION("AI(""Fill an appropriate value for this cell based on the table context"")"),"wise, shrewd, prudent")</f>
        <v>wise, shrewd, prudent</v>
      </c>
      <c r="D338" s="5" t="str">
        <f ca="1">IFERROR(__xludf.DUMMYFUNCTION("AI(""Fill an appropriate value for this cell based on the table context"")"),"The sagacious leader was respected by all for making wise and thoughtful decisions.")</f>
        <v>The sagacious leader was respected by all for making wise and thoughtful decisions.</v>
      </c>
      <c r="E338" s="5"/>
      <c r="F338" s="5"/>
      <c r="G338" s="5"/>
      <c r="H338" s="5"/>
      <c r="I338" s="5"/>
      <c r="J338" s="5"/>
      <c r="K338" s="5"/>
      <c r="L338" s="5"/>
      <c r="M338" s="5"/>
      <c r="N338" s="5"/>
      <c r="O338" s="5"/>
      <c r="P338" s="5"/>
      <c r="Q338" s="5"/>
      <c r="R338" s="5"/>
      <c r="S338" s="5"/>
      <c r="T338" s="5"/>
      <c r="U338" s="5"/>
      <c r="V338" s="5"/>
      <c r="W338" s="5"/>
      <c r="X338" s="5"/>
      <c r="Y338" s="5"/>
      <c r="Z338" s="5"/>
    </row>
    <row r="339" spans="1:26" ht="12.5" x14ac:dyDescent="0.25">
      <c r="A339" s="5" t="s">
        <v>801</v>
      </c>
      <c r="B339" s="5" t="str">
        <f ca="1">IFERROR(__xludf.DUMMYFUNCTION("AI(""Fill an appropriate value for this cell based on the table context"")"),"hostile, aggressive, or eager to fight")</f>
        <v>hostile, aggressive, or eager to fight</v>
      </c>
      <c r="C339" s="5" t="str">
        <f ca="1">IFERROR(__xludf.DUMMYFUNCTION("AI(""Fill an appropriate value for this cell based on the table context"")"),"hostile, aggressive, pugnacious")</f>
        <v>hostile, aggressive, pugnacious</v>
      </c>
      <c r="D339" s="5" t="str">
        <f ca="1">IFERROR(__xludf.DUMMYFUNCTION("AI(""Fill an appropriate value for this cell based on the table context"")"),"The belligerent customer began shouting at the cashier over a minor pricing error.")</f>
        <v>The belligerent customer began shouting at the cashier over a minor pricing error.</v>
      </c>
      <c r="E339" s="5"/>
      <c r="F339" s="5"/>
      <c r="G339" s="5"/>
      <c r="H339" s="5"/>
      <c r="I339" s="5"/>
      <c r="J339" s="5"/>
      <c r="K339" s="5"/>
      <c r="L339" s="5"/>
      <c r="M339" s="5"/>
      <c r="N339" s="5"/>
      <c r="O339" s="5"/>
      <c r="P339" s="5"/>
      <c r="Q339" s="5"/>
      <c r="R339" s="5"/>
      <c r="S339" s="5"/>
      <c r="T339" s="5"/>
      <c r="U339" s="5"/>
      <c r="V339" s="5"/>
      <c r="W339" s="5"/>
      <c r="X339" s="5"/>
      <c r="Y339" s="5"/>
      <c r="Z339" s="5"/>
    </row>
    <row r="340" spans="1:26" ht="12.5" x14ac:dyDescent="0.25">
      <c r="A340" s="5" t="s">
        <v>802</v>
      </c>
      <c r="B340" s="5" t="str">
        <f ca="1">IFERROR(__xludf.DUMMYFUNCTION("AI(""Fill an appropriate value for this cell based on the table context"")"),"make something prominent or important")</f>
        <v>make something prominent or important</v>
      </c>
      <c r="C340" s="5" t="str">
        <f ca="1">IFERROR(__xludf.DUMMYFUNCTION("AI(""Fill an appropriate value for this cell based on the table context"")"),"highlight, emphasize, accentuate")</f>
        <v>highlight, emphasize, accentuate</v>
      </c>
      <c r="D340" s="5" t="str">
        <f ca="1">IFERROR(__xludf.DUMMYFUNCTION("AI(""Fill an appropriate value for this cell based on the table context"")"),"The author chose to foreground the struggles of working-class families in her new novel.")</f>
        <v>The author chose to foreground the struggles of working-class families in her new novel.</v>
      </c>
      <c r="E340" s="5"/>
      <c r="F340" s="5"/>
      <c r="G340" s="5"/>
      <c r="H340" s="5"/>
      <c r="I340" s="5"/>
      <c r="J340" s="5"/>
      <c r="K340" s="5"/>
      <c r="L340" s="5"/>
      <c r="M340" s="5"/>
      <c r="N340" s="5"/>
      <c r="O340" s="5"/>
      <c r="P340" s="5"/>
      <c r="Q340" s="5"/>
      <c r="R340" s="5"/>
      <c r="S340" s="5"/>
      <c r="T340" s="5"/>
      <c r="U340" s="5"/>
      <c r="V340" s="5"/>
      <c r="W340" s="5"/>
      <c r="X340" s="5"/>
      <c r="Y340" s="5"/>
      <c r="Z340" s="5"/>
    </row>
    <row r="341" spans="1:26" ht="12.5" x14ac:dyDescent="0.25">
      <c r="A341" s="5" t="s">
        <v>803</v>
      </c>
      <c r="B341" s="5" t="str">
        <f ca="1">IFERROR(__xludf.DUMMYFUNCTION("AI(""Fill an appropriate value for this cell based on the table context"")"),"generally believed, supposed, or assumed to be")</f>
        <v>generally believed, supposed, or assumed to be</v>
      </c>
      <c r="C341" s="5" t="str">
        <f ca="1">IFERROR(__xludf.DUMMYFUNCTION("AI(""Fill an appropriate value for this cell based on the table context"")"),"supposed, presumed, reputed")</f>
        <v>supposed, presumed, reputed</v>
      </c>
      <c r="D341" s="5" t="str">
        <f ca="1">IFERROR(__xludf.DUMMYFUNCTION("AI(""Fill an appropriate value for this cell based on the table context"")"),"The putative leader of the terrorist cell was arrested yesterday.")</f>
        <v>The putative leader of the terrorist cell was arrested yesterday.</v>
      </c>
      <c r="E341" s="5"/>
      <c r="F341" s="5"/>
      <c r="G341" s="5"/>
      <c r="H341" s="5"/>
      <c r="I341" s="5"/>
      <c r="J341" s="5"/>
      <c r="K341" s="5"/>
      <c r="L341" s="5"/>
      <c r="M341" s="5"/>
      <c r="N341" s="5"/>
      <c r="O341" s="5"/>
      <c r="P341" s="5"/>
      <c r="Q341" s="5"/>
      <c r="R341" s="5"/>
      <c r="S341" s="5"/>
      <c r="T341" s="5"/>
      <c r="U341" s="5"/>
      <c r="V341" s="5"/>
      <c r="W341" s="5"/>
      <c r="X341" s="5"/>
      <c r="Y341" s="5"/>
      <c r="Z341" s="5"/>
    </row>
    <row r="342" spans="1:26" ht="12.5" x14ac:dyDescent="0.25">
      <c r="A342" s="5" t="s">
        <v>804</v>
      </c>
      <c r="B342" s="5" t="str">
        <f ca="1">IFERROR(__xludf.DUMMYFUNCTION("AI(""Fill an appropriate value for this cell based on the table context"")"),"overindulging in physical pleasures; debauched or dissolute")</f>
        <v>overindulging in physical pleasures; debauched or dissolute</v>
      </c>
      <c r="C342" s="5" t="str">
        <f ca="1">IFERROR(__xludf.DUMMYFUNCTION("AI(""Fill an appropriate value for this cell based on the table context"")"),"debauched, dissolute, profligate")</f>
        <v>debauched, dissolute, profligate</v>
      </c>
      <c r="D342" s="5" t="str">
        <f ca="1">IFERROR(__xludf.DUMMYFUNCTION("AI(""Fill an appropriate value for this cell based on the table context"")"),"His dissipated lifestyle eventually led to both financial ruin and poor health.")</f>
        <v>His dissipated lifestyle eventually led to both financial ruin and poor health.</v>
      </c>
      <c r="E342" s="5"/>
      <c r="F342" s="5"/>
      <c r="G342" s="5"/>
      <c r="H342" s="5"/>
      <c r="I342" s="5"/>
      <c r="J342" s="5"/>
      <c r="K342" s="5"/>
      <c r="L342" s="5"/>
      <c r="M342" s="5"/>
      <c r="N342" s="5"/>
      <c r="O342" s="5"/>
      <c r="P342" s="5"/>
      <c r="Q342" s="5"/>
      <c r="R342" s="5"/>
      <c r="S342" s="5"/>
      <c r="T342" s="5"/>
      <c r="U342" s="5"/>
      <c r="V342" s="5"/>
      <c r="W342" s="5"/>
      <c r="X342" s="5"/>
      <c r="Y342" s="5"/>
      <c r="Z342" s="5"/>
    </row>
    <row r="343" spans="1:26" ht="12.5" x14ac:dyDescent="0.25">
      <c r="A343" s="5" t="s">
        <v>805</v>
      </c>
      <c r="B343" s="5" t="str">
        <f ca="1">IFERROR(__xludf.DUMMYFUNCTION("AI(""Fill an appropriate value for this cell based on the table context"")"),"sexually unrestrained or immoral")</f>
        <v>sexually unrestrained or immoral</v>
      </c>
      <c r="C343" s="5" t="str">
        <f ca="1">IFERROR(__xludf.DUMMYFUNCTION("AI(""Fill an appropriate value for this cell based on the table context"")"),"dissolute, lewd, lascivious")</f>
        <v>dissolute, lewd, lascivious</v>
      </c>
      <c r="D343" s="5" t="str">
        <f ca="1">IFERROR(__xludf.DUMMYFUNCTION("AI(""Fill an appropriate value for this cell based on the table context"")"),"His licentious behavior ultimately led to a major public scandal.")</f>
        <v>His licentious behavior ultimately led to a major public scandal.</v>
      </c>
      <c r="E343" s="5"/>
      <c r="F343" s="5"/>
      <c r="G343" s="5"/>
      <c r="H343" s="5"/>
      <c r="I343" s="5"/>
      <c r="J343" s="5"/>
      <c r="K343" s="5"/>
      <c r="L343" s="5"/>
      <c r="M343" s="5"/>
      <c r="N343" s="5"/>
      <c r="O343" s="5"/>
      <c r="P343" s="5"/>
      <c r="Q343" s="5"/>
      <c r="R343" s="5"/>
      <c r="S343" s="5"/>
      <c r="T343" s="5"/>
      <c r="U343" s="5"/>
      <c r="V343" s="5"/>
      <c r="W343" s="5"/>
      <c r="X343" s="5"/>
      <c r="Y343" s="5"/>
      <c r="Z343" s="5"/>
    </row>
    <row r="344" spans="1:26" ht="12.5" x14ac:dyDescent="0.25">
      <c r="A344" s="5" t="s">
        <v>806</v>
      </c>
      <c r="B344" s="5" t="str">
        <f ca="1">IFERROR(__xludf.DUMMYFUNCTION("AI(""Fill an appropriate value for this cell based on the table context"")"),"intended to attract notice and impress others by excessive display of wealth or importance")</f>
        <v>intended to attract notice and impress others by excessive display of wealth or importance</v>
      </c>
      <c r="C344" s="5" t="str">
        <f ca="1">IFERROR(__xludf.DUMMYFUNCTION("AI(""Fill an appropriate value for this cell based on the table context"")"),"showy, pretentious, flamboyant")</f>
        <v>showy, pretentious, flamboyant</v>
      </c>
      <c r="D344" s="5" t="str">
        <f ca="1">IFERROR(__xludf.DUMMYFUNCTION("AI(""Fill an appropriate value for this cell based on the table context"")"),"She wore an ostentatious diamond necklace to the casual dinner party.")</f>
        <v>She wore an ostentatious diamond necklace to the casual dinner party.</v>
      </c>
      <c r="E344" s="5"/>
      <c r="F344" s="5"/>
      <c r="G344" s="5"/>
      <c r="H344" s="5"/>
      <c r="I344" s="5"/>
      <c r="J344" s="5"/>
      <c r="K344" s="5"/>
      <c r="L344" s="5"/>
      <c r="M344" s="5"/>
      <c r="N344" s="5"/>
      <c r="O344" s="5"/>
      <c r="P344" s="5"/>
      <c r="Q344" s="5"/>
      <c r="R344" s="5"/>
      <c r="S344" s="5"/>
      <c r="T344" s="5"/>
      <c r="U344" s="5"/>
      <c r="V344" s="5"/>
      <c r="W344" s="5"/>
      <c r="X344" s="5"/>
      <c r="Y344" s="5"/>
      <c r="Z344" s="5"/>
    </row>
    <row r="345" spans="1:26" ht="12.5" x14ac:dyDescent="0.25">
      <c r="A345" s="5" t="s">
        <v>807</v>
      </c>
      <c r="B345" s="5" t="str">
        <f ca="1">IFERROR(__xludf.DUMMYFUNCTION("AI(""Fill an appropriate value for this cell based on the table context"")"),"harmless; not causing harm or injury")</f>
        <v>harmless; not causing harm or injury</v>
      </c>
      <c r="C345" s="5" t="str">
        <f ca="1">IFERROR(__xludf.DUMMYFUNCTION("AI(""Fill an appropriate value for this cell based on the table context"")"),"harmless, innocuous, inoffensive")</f>
        <v>harmless, innocuous, inoffensive</v>
      </c>
      <c r="D345" s="5" t="str">
        <f ca="1">IFERROR(__xludf.DUMMYFUNCTION("AI(""Fill an appropriate value for this cell based on the table context"")"),"The chemical used in the experiment was completely innoxious to humans.")</f>
        <v>The chemical used in the experiment was completely innoxious to humans.</v>
      </c>
      <c r="E345" s="5"/>
      <c r="F345" s="5"/>
      <c r="G345" s="5"/>
      <c r="H345" s="5"/>
      <c r="I345" s="5"/>
      <c r="J345" s="5"/>
      <c r="K345" s="5"/>
      <c r="L345" s="5"/>
      <c r="M345" s="5"/>
      <c r="N345" s="5"/>
      <c r="O345" s="5"/>
      <c r="P345" s="5"/>
      <c r="Q345" s="5"/>
      <c r="R345" s="5"/>
      <c r="S345" s="5"/>
      <c r="T345" s="5"/>
      <c r="U345" s="5"/>
      <c r="V345" s="5"/>
      <c r="W345" s="5"/>
      <c r="X345" s="5"/>
      <c r="Y345" s="5"/>
      <c r="Z345" s="5"/>
    </row>
    <row r="346" spans="1:26" ht="12.5" x14ac:dyDescent="0.25">
      <c r="A346" s="5" t="s">
        <v>808</v>
      </c>
      <c r="B346" s="5" t="str">
        <f ca="1">IFERROR(__xludf.DUMMYFUNCTION("AI(""Fill an appropriate value for this cell based on the table context"")"),"prevent from happening; make impossible")</f>
        <v>prevent from happening; make impossible</v>
      </c>
      <c r="C346" s="5" t="str">
        <f ca="1">IFERROR(__xludf.DUMMYFUNCTION("AI(""Fill an appropriate value for this cell based on the table context"")"),"prevent, rule out, forestall")</f>
        <v>prevent, rule out, forestall</v>
      </c>
      <c r="D346" s="5" t="str">
        <f ca="1">IFERROR(__xludf.DUMMYFUNCTION("AI(""Fill an appropriate value for this cell based on the table context"")"),"His severe injury precluded any possibility of continuing his career in professional sports.")</f>
        <v>His severe injury precluded any possibility of continuing his career in professional sports.</v>
      </c>
      <c r="E346" s="5"/>
      <c r="F346" s="5"/>
      <c r="G346" s="5"/>
      <c r="H346" s="5"/>
      <c r="I346" s="5"/>
      <c r="J346" s="5"/>
      <c r="K346" s="5"/>
      <c r="L346" s="5"/>
      <c r="M346" s="5"/>
      <c r="N346" s="5"/>
      <c r="O346" s="5"/>
      <c r="P346" s="5"/>
      <c r="Q346" s="5"/>
      <c r="R346" s="5"/>
      <c r="S346" s="5"/>
      <c r="T346" s="5"/>
      <c r="U346" s="5"/>
      <c r="V346" s="5"/>
      <c r="W346" s="5"/>
      <c r="X346" s="5"/>
      <c r="Y346" s="5"/>
      <c r="Z346" s="5"/>
    </row>
    <row r="347" spans="1:26" ht="12.5" x14ac:dyDescent="0.25">
      <c r="A347" s="5" t="s">
        <v>809</v>
      </c>
      <c r="B347" s="5" t="str">
        <f ca="1">IFERROR(__xludf.DUMMYFUNCTION("AI(""Fill an appropriate value for this cell based on the table context"")"),"widespread, abundant, or common (especially of something undesirable)")</f>
        <v>widespread, abundant, or common (especially of something undesirable)</v>
      </c>
      <c r="C347" s="5" t="str">
        <f ca="1">IFERROR(__xludf.DUMMYFUNCTION("AI(""Fill an appropriate value for this cell based on the table context"")"),"widespread, prevalent, rampant")</f>
        <v>widespread, prevalent, rampant</v>
      </c>
      <c r="D347" s="5" t="str">
        <f ca="1">IFERROR(__xludf.DUMMYFUNCTION("AI(""Fill an appropriate value for this cell based on the table context"")"),"Rumors of corruption were rife throughout the government agency.")</f>
        <v>Rumors of corruption were rife throughout the government agency.</v>
      </c>
      <c r="E347" s="5"/>
      <c r="F347" s="5"/>
      <c r="G347" s="5"/>
      <c r="H347" s="5"/>
      <c r="I347" s="5"/>
      <c r="J347" s="5"/>
      <c r="K347" s="5"/>
      <c r="L347" s="5"/>
      <c r="M347" s="5"/>
      <c r="N347" s="5"/>
      <c r="O347" s="5"/>
      <c r="P347" s="5"/>
      <c r="Q347" s="5"/>
      <c r="R347" s="5"/>
      <c r="S347" s="5"/>
      <c r="T347" s="5"/>
      <c r="U347" s="5"/>
      <c r="V347" s="5"/>
      <c r="W347" s="5"/>
      <c r="X347" s="5"/>
      <c r="Y347" s="5"/>
      <c r="Z347" s="5"/>
    </row>
    <row r="348" spans="1:26" ht="12.5" x14ac:dyDescent="0.25">
      <c r="A348" s="5" t="s">
        <v>810</v>
      </c>
      <c r="B348" s="5" t="str">
        <f ca="1">IFERROR(__xludf.DUMMYFUNCTION("AI(""Fill an appropriate value for this cell based on the table context"")"),"having keen mental perception and understanding; discerning")</f>
        <v>having keen mental perception and understanding; discerning</v>
      </c>
      <c r="C348" s="5" t="str">
        <f ca="1">IFERROR(__xludf.DUMMYFUNCTION("AI(""Fill an appropriate value for this cell based on the table context"")"),"astute, discerning, shrewd")</f>
        <v>astute, discerning, shrewd</v>
      </c>
      <c r="D348" s="5" t="str">
        <f ca="1">IFERROR(__xludf.DUMMYFUNCTION("AI(""Fill an appropriate value for this cell based on the table context"")"),"The perspicacious detective noticed details that everyone else missed.")</f>
        <v>The perspicacious detective noticed details that everyone else missed.</v>
      </c>
      <c r="E348" s="5"/>
      <c r="F348" s="5"/>
      <c r="G348" s="5"/>
      <c r="H348" s="5"/>
      <c r="I348" s="5"/>
      <c r="J348" s="5"/>
      <c r="K348" s="5"/>
      <c r="L348" s="5"/>
      <c r="M348" s="5"/>
      <c r="N348" s="5"/>
      <c r="O348" s="5"/>
      <c r="P348" s="5"/>
      <c r="Q348" s="5"/>
      <c r="R348" s="5"/>
      <c r="S348" s="5"/>
      <c r="T348" s="5"/>
      <c r="U348" s="5"/>
      <c r="V348" s="5"/>
      <c r="W348" s="5"/>
      <c r="X348" s="5"/>
      <c r="Y348" s="5"/>
      <c r="Z348" s="5"/>
    </row>
    <row r="349" spans="1:26" ht="12.5" x14ac:dyDescent="0.25">
      <c r="A349" s="5" t="s">
        <v>811</v>
      </c>
      <c r="B349" s="5" t="str">
        <f ca="1">IFERROR(__xludf.DUMMYFUNCTION("AI(""Fill an appropriate value for this cell based on the table context"")"),"rough, bad-mannered, and insensitive to others' feelings")</f>
        <v>rough, bad-mannered, and insensitive to others' feelings</v>
      </c>
      <c r="C349" s="5" t="str">
        <f ca="1">IFERROR(__xludf.DUMMYFUNCTION("AI(""Fill an appropriate value for this cell based on the table context"")"),"churlish, uncouth, loutish")</f>
        <v>churlish, uncouth, loutish</v>
      </c>
      <c r="D349" s="5" t="str">
        <f ca="1">IFERROR(__xludf.DUMMYFUNCTION("AI(""Fill an appropriate value for this cell based on the table context"")"),"His boorish behavior at the formal dinner embarrassed everyone at the table.")</f>
        <v>His boorish behavior at the formal dinner embarrassed everyone at the table.</v>
      </c>
      <c r="E349" s="5"/>
      <c r="F349" s="5"/>
      <c r="G349" s="5"/>
      <c r="H349" s="5"/>
      <c r="I349" s="5"/>
      <c r="J349" s="5"/>
      <c r="K349" s="5"/>
      <c r="L349" s="5"/>
      <c r="M349" s="5"/>
      <c r="N349" s="5"/>
      <c r="O349" s="5"/>
      <c r="P349" s="5"/>
      <c r="Q349" s="5"/>
      <c r="R349" s="5"/>
      <c r="S349" s="5"/>
      <c r="T349" s="5"/>
      <c r="U349" s="5"/>
      <c r="V349" s="5"/>
      <c r="W349" s="5"/>
      <c r="X349" s="5"/>
      <c r="Y349" s="5"/>
      <c r="Z349" s="5"/>
    </row>
    <row r="350" spans="1:26" ht="12.5" x14ac:dyDescent="0.25">
      <c r="A350" s="5" t="s">
        <v>812</v>
      </c>
      <c r="B350" s="5" t="str">
        <f ca="1">IFERROR(__xludf.DUMMYFUNCTION("AI(""Fill an appropriate value for this cell based on the table context"")"),"tolerate or allow (something, typically dissent or opposition)")</f>
        <v>tolerate or allow (something, typically dissent or opposition)</v>
      </c>
      <c r="C350" s="5" t="str">
        <f ca="1">IFERROR(__xludf.DUMMYFUNCTION("AI(""Fill an appropriate value for this cell based on the table context"")"),"tolerate, endure, bear")</f>
        <v>tolerate, endure, bear</v>
      </c>
      <c r="D350" s="5" t="str">
        <f ca="1">IFERROR(__xludf.DUMMYFUNCTION("AI(""Fill an appropriate value for this cell based on the table context"")"),"The manager refused to brook any further delays to the project schedule.")</f>
        <v>The manager refused to brook any further delays to the project schedule.</v>
      </c>
      <c r="E350" s="5"/>
      <c r="F350" s="5"/>
      <c r="G350" s="5"/>
      <c r="H350" s="5"/>
      <c r="I350" s="5"/>
      <c r="J350" s="5"/>
      <c r="K350" s="5"/>
      <c r="L350" s="5"/>
      <c r="M350" s="5"/>
      <c r="N350" s="5"/>
      <c r="O350" s="5"/>
      <c r="P350" s="5"/>
      <c r="Q350" s="5"/>
      <c r="R350" s="5"/>
      <c r="S350" s="5"/>
      <c r="T350" s="5"/>
      <c r="U350" s="5"/>
      <c r="V350" s="5"/>
      <c r="W350" s="5"/>
      <c r="X350" s="5"/>
      <c r="Y350" s="5"/>
      <c r="Z350" s="5"/>
    </row>
    <row r="351" spans="1:26" ht="12.5" x14ac:dyDescent="0.25">
      <c r="A351" s="5" t="s">
        <v>813</v>
      </c>
      <c r="B351" s="5" t="str">
        <f ca="1">IFERROR(__xludf.DUMMYFUNCTION("AI(""Fill an appropriate value for this cell based on the table context"")"),"courteous behavior; mutual civility and respect")</f>
        <v>courteous behavior; mutual civility and respect</v>
      </c>
      <c r="C351" s="5" t="str">
        <f ca="1">IFERROR(__xludf.DUMMYFUNCTION("AI(""Fill an appropriate value for this cell based on the table context"")"),"amity, civility, courtesy")</f>
        <v>amity, civility, courtesy</v>
      </c>
      <c r="D351" s="5" t="str">
        <f ca="1">IFERROR(__xludf.DUMMYFUNCTION("AI(""Fill an appropriate value for this cell based on the table context"")"),"The two nations established an atmosphere of comity and mutual respect during the summit.")</f>
        <v>The two nations established an atmosphere of comity and mutual respect during the summit.</v>
      </c>
      <c r="E351" s="5"/>
      <c r="F351" s="5"/>
      <c r="G351" s="5"/>
      <c r="H351" s="5"/>
      <c r="I351" s="5"/>
      <c r="J351" s="5"/>
      <c r="K351" s="5"/>
      <c r="L351" s="5"/>
      <c r="M351" s="5"/>
      <c r="N351" s="5"/>
      <c r="O351" s="5"/>
      <c r="P351" s="5"/>
      <c r="Q351" s="5"/>
      <c r="R351" s="5"/>
      <c r="S351" s="5"/>
      <c r="T351" s="5"/>
      <c r="U351" s="5"/>
      <c r="V351" s="5"/>
      <c r="W351" s="5"/>
      <c r="X351" s="5"/>
      <c r="Y351" s="5"/>
      <c r="Z351" s="5"/>
    </row>
    <row r="352" spans="1:26" ht="25" x14ac:dyDescent="0.25">
      <c r="A352" s="5" t="s">
        <v>814</v>
      </c>
      <c r="B352" s="5" t="str">
        <f ca="1">IFERROR(__xludf.DUMMYFUNCTION("AI(""Fill an appropriate value for this cell based on the table context"")"),"corresponding in size, extent, or degree; proportionate")</f>
        <v>corresponding in size, extent, or degree; proportionate</v>
      </c>
      <c r="C352" s="5" t="str">
        <f ca="1">IFERROR(__xludf.DUMMYFUNCTION("AI(""Fill an appropriate value for this cell based on the table context"")"),"proportionate, equivalent, comparable")</f>
        <v>proportionate, equivalent, comparable</v>
      </c>
      <c r="D352" s="5" t="str">
        <f ca="1">IFERROR(__xludf.DUMMYFUNCTION("AI(""Fill an appropriate value for this cell based on the table context"")"),"Her new position came with a commensurate level of responsibility.")</f>
        <v>Her new position came with a commensurate level of responsibility.</v>
      </c>
      <c r="E352" s="5"/>
      <c r="F352" s="5"/>
      <c r="G352" s="5"/>
      <c r="H352" s="5"/>
      <c r="I352" s="5"/>
      <c r="J352" s="5"/>
      <c r="K352" s="5"/>
      <c r="L352" s="5"/>
      <c r="M352" s="5"/>
      <c r="N352" s="5"/>
      <c r="O352" s="5"/>
      <c r="P352" s="5"/>
      <c r="Q352" s="5"/>
      <c r="R352" s="5"/>
      <c r="S352" s="5"/>
      <c r="T352" s="5"/>
      <c r="U352" s="5"/>
      <c r="V352" s="5"/>
      <c r="W352" s="5"/>
      <c r="X352" s="5"/>
      <c r="Y352" s="5"/>
      <c r="Z352" s="5"/>
    </row>
    <row r="353" spans="1:26" ht="12.5" x14ac:dyDescent="0.25">
      <c r="A353" s="5" t="s">
        <v>815</v>
      </c>
      <c r="B353" s="5" t="str">
        <f ca="1">IFERROR(__xludf.DUMMYFUNCTION("AI(""Fill an appropriate value for this cell based on the table context"")"),"instruct or improve someone morally or intellectually")</f>
        <v>instruct or improve someone morally or intellectually</v>
      </c>
      <c r="C353" s="5" t="str">
        <f ca="1">IFERROR(__xludf.DUMMYFUNCTION("AI(""Fill an appropriate value for this cell based on the table context"")"),"educate, enlighten, instruct")</f>
        <v>educate, enlighten, instruct</v>
      </c>
      <c r="D353" s="5" t="str">
        <f ca="1">IFERROR(__xludf.DUMMYFUNCTION("AI(""Fill an appropriate value for this cell based on the table context"")"),"The teacher hoped her speech about good citizenship would edify her students.")</f>
        <v>The teacher hoped her speech about good citizenship would edify her students.</v>
      </c>
      <c r="E353" s="5"/>
      <c r="F353" s="5"/>
      <c r="G353" s="5"/>
      <c r="H353" s="5"/>
      <c r="I353" s="5"/>
      <c r="J353" s="5"/>
      <c r="K353" s="5"/>
      <c r="L353" s="5"/>
      <c r="M353" s="5"/>
      <c r="N353" s="5"/>
      <c r="O353" s="5"/>
      <c r="P353" s="5"/>
      <c r="Q353" s="5"/>
      <c r="R353" s="5"/>
      <c r="S353" s="5"/>
      <c r="T353" s="5"/>
      <c r="U353" s="5"/>
      <c r="V353" s="5"/>
      <c r="W353" s="5"/>
      <c r="X353" s="5"/>
      <c r="Y353" s="5"/>
      <c r="Z353" s="5"/>
    </row>
    <row r="354" spans="1:26" ht="25" x14ac:dyDescent="0.25">
      <c r="A354" s="5" t="s">
        <v>816</v>
      </c>
      <c r="B354" s="5" t="str">
        <f ca="1">IFERROR(__xludf.DUMMYFUNCTION("AI(""Fill an appropriate value for this cell based on the table context"")"),"producing or capable of producing many offspring, fruit, or new ideas; highly fertile or productive")</f>
        <v>producing or capable of producing many offspring, fruit, or new ideas; highly fertile or productive</v>
      </c>
      <c r="C354" s="5" t="str">
        <f ca="1">IFERROR(__xludf.DUMMYFUNCTION("AI(""Fill an appropriate value for this cell based on the table context"")"),"fertile, fruitful, prolific")</f>
        <v>fertile, fruitful, prolific</v>
      </c>
      <c r="D354" s="5" t="str">
        <f ca="1">IFERROR(__xludf.DUMMYFUNCTION("AI(""Fill an appropriate value for this cell based on the table context"")"),"The warm weather and rich soil provided a fecund environment for the crops to flourish.")</f>
        <v>The warm weather and rich soil provided a fecund environment for the crops to flourish.</v>
      </c>
      <c r="E354" s="5"/>
      <c r="F354" s="5"/>
      <c r="G354" s="5"/>
      <c r="H354" s="5"/>
      <c r="I354" s="5"/>
      <c r="J354" s="5"/>
      <c r="K354" s="5"/>
      <c r="L354" s="5"/>
      <c r="M354" s="5"/>
      <c r="N354" s="5"/>
      <c r="O354" s="5"/>
      <c r="P354" s="5"/>
      <c r="Q354" s="5"/>
      <c r="R354" s="5"/>
      <c r="S354" s="5"/>
      <c r="T354" s="5"/>
      <c r="U354" s="5"/>
      <c r="V354" s="5"/>
      <c r="W354" s="5"/>
      <c r="X354" s="5"/>
      <c r="Y354" s="5"/>
      <c r="Z354" s="5"/>
    </row>
    <row r="355" spans="1:26" ht="12.5" x14ac:dyDescent="0.25">
      <c r="A355" s="5" t="s">
        <v>817</v>
      </c>
      <c r="B355" s="5" t="str">
        <f ca="1">IFERROR(__xludf.DUMMYFUNCTION("AI(""Fill an appropriate value for this cell based on the table context"")"),"refrain from doing or saying something")</f>
        <v>refrain from doing or saying something</v>
      </c>
      <c r="C355" s="5" t="str">
        <f ca="1">IFERROR(__xludf.DUMMYFUNCTION("AI(""Fill an appropriate value for this cell based on the table context"")"),"refrain, abstain, desist")</f>
        <v>refrain, abstain, desist</v>
      </c>
      <c r="D355" s="5" t="str">
        <f ca="1">IFERROR(__xludf.DUMMYFUNCTION("AI(""Fill an appropriate value for this cell based on the table context"")"),"He decided to forbear from answering the rude comment to avoid further conflict.")</f>
        <v>He decided to forbear from answering the rude comment to avoid further conflict.</v>
      </c>
      <c r="E355" s="5"/>
      <c r="F355" s="5"/>
      <c r="G355" s="5"/>
      <c r="H355" s="5"/>
      <c r="I355" s="5"/>
      <c r="J355" s="5"/>
      <c r="K355" s="5"/>
      <c r="L355" s="5"/>
      <c r="M355" s="5"/>
      <c r="N355" s="5"/>
      <c r="O355" s="5"/>
      <c r="P355" s="5"/>
      <c r="Q355" s="5"/>
      <c r="R355" s="5"/>
      <c r="S355" s="5"/>
      <c r="T355" s="5"/>
      <c r="U355" s="5"/>
      <c r="V355" s="5"/>
      <c r="W355" s="5"/>
      <c r="X355" s="5"/>
      <c r="Y355" s="5"/>
      <c r="Z355" s="5"/>
    </row>
    <row r="356" spans="1:26" ht="12.5" x14ac:dyDescent="0.25">
      <c r="A356" s="5" t="s">
        <v>818</v>
      </c>
      <c r="B356" s="5" t="str">
        <f ca="1">IFERROR(__xludf.DUMMYFUNCTION("AI(""Fill an appropriate value for this cell based on the table context"")"),"a crude, rude, or ill-mannered person")</f>
        <v>a crude, rude, or ill-mannered person</v>
      </c>
      <c r="C356" s="5" t="str">
        <f ca="1">IFERROR(__xludf.DUMMYFUNCTION("AI(""Fill an appropriate value for this cell based on the table context"")"),"lout, churl, oaf")</f>
        <v>lout, churl, oaf</v>
      </c>
      <c r="D356" s="5" t="str">
        <f ca="1">IFERROR(__xludf.DUMMYFUNCTION("AI(""Fill an appropriate value for this cell based on the table context"")"),"His rude behavior at the formal dinner marked him as an unrefined boor.")</f>
        <v>His rude behavior at the formal dinner marked him as an unrefined boor.</v>
      </c>
      <c r="E356" s="5"/>
      <c r="F356" s="5"/>
      <c r="G356" s="5"/>
      <c r="H356" s="5"/>
      <c r="I356" s="5"/>
      <c r="J356" s="5"/>
      <c r="K356" s="5"/>
      <c r="L356" s="5"/>
      <c r="M356" s="5"/>
      <c r="N356" s="5"/>
      <c r="O356" s="5"/>
      <c r="P356" s="5"/>
      <c r="Q356" s="5"/>
      <c r="R356" s="5"/>
      <c r="S356" s="5"/>
      <c r="T356" s="5"/>
      <c r="U356" s="5"/>
      <c r="V356" s="5"/>
      <c r="W356" s="5"/>
      <c r="X356" s="5"/>
      <c r="Y356" s="5"/>
      <c r="Z356" s="5"/>
    </row>
    <row r="357" spans="1:26" ht="12.5" x14ac:dyDescent="0.25">
      <c r="A357" s="5" t="s">
        <v>819</v>
      </c>
      <c r="B357" s="5" t="str">
        <f ca="1">IFERROR(__xludf.DUMMYFUNCTION("AI(""Fill an appropriate value for this cell based on the table context"")"),"having or showing great knowledge or learning; scholarly")</f>
        <v>having or showing great knowledge or learning; scholarly</v>
      </c>
      <c r="C357" s="5" t="str">
        <f ca="1">IFERROR(__xludf.DUMMYFUNCTION("AI(""Fill an appropriate value for this cell based on the table context"")"),"scholarly, learned, educated")</f>
        <v>scholarly, learned, educated</v>
      </c>
      <c r="D357" s="5" t="str">
        <f ca="1">IFERROR(__xludf.DUMMYFUNCTION("AI(""Fill an appropriate value for this cell based on the table context"")"),"The erudite professor gave a fascinating lecture on ancient civilizations.")</f>
        <v>The erudite professor gave a fascinating lecture on ancient civilizations.</v>
      </c>
      <c r="E357" s="5"/>
      <c r="F357" s="5"/>
      <c r="G357" s="5"/>
      <c r="H357" s="5"/>
      <c r="I357" s="5"/>
      <c r="J357" s="5"/>
      <c r="K357" s="5"/>
      <c r="L357" s="5"/>
      <c r="M357" s="5"/>
      <c r="N357" s="5"/>
      <c r="O357" s="5"/>
      <c r="P357" s="5"/>
      <c r="Q357" s="5"/>
      <c r="R357" s="5"/>
      <c r="S357" s="5"/>
      <c r="T357" s="5"/>
      <c r="U357" s="5"/>
      <c r="V357" s="5"/>
      <c r="W357" s="5"/>
      <c r="X357" s="5"/>
      <c r="Y357" s="5"/>
      <c r="Z357" s="5"/>
    </row>
    <row r="358" spans="1:26" ht="12.5" x14ac:dyDescent="0.25">
      <c r="A358" s="5" t="s">
        <v>820</v>
      </c>
      <c r="B358" s="5" t="str">
        <f ca="1">IFERROR(__xludf.DUMMYFUNCTION("AI(""Fill an appropriate value for this cell based on the table context"")"),"relevant to or appropriate for the matter in hand")</f>
        <v>relevant to or appropriate for the matter in hand</v>
      </c>
      <c r="C358" s="5" t="str">
        <f ca="1">IFERROR(__xludf.DUMMYFUNCTION("AI(""Fill an appropriate value for this cell based on the table context"")"),"relevant, pertinent, apposite")</f>
        <v>relevant, pertinent, apposite</v>
      </c>
      <c r="D358" s="5" t="str">
        <f ca="1">IFERROR(__xludf.DUMMYFUNCTION("AI(""Fill an appropriate value for this cell based on the table context"")"),"The professor asked the students to limit their questions to those germane to the lecture.")</f>
        <v>The professor asked the students to limit their questions to those germane to the lecture.</v>
      </c>
      <c r="E358" s="5"/>
      <c r="F358" s="5"/>
      <c r="G358" s="5"/>
      <c r="H358" s="5"/>
      <c r="I358" s="5"/>
      <c r="J358" s="5"/>
      <c r="K358" s="5"/>
      <c r="L358" s="5"/>
      <c r="M358" s="5"/>
      <c r="N358" s="5"/>
      <c r="O358" s="5"/>
      <c r="P358" s="5"/>
      <c r="Q358" s="5"/>
      <c r="R358" s="5"/>
      <c r="S358" s="5"/>
      <c r="T358" s="5"/>
      <c r="U358" s="5"/>
      <c r="V358" s="5"/>
      <c r="W358" s="5"/>
      <c r="X358" s="5"/>
      <c r="Y358" s="5"/>
      <c r="Z358" s="5"/>
    </row>
    <row r="359" spans="1:26" ht="12.5" x14ac:dyDescent="0.25">
      <c r="A359" s="5" t="s">
        <v>821</v>
      </c>
      <c r="B359" s="5" t="str">
        <f ca="1">IFERROR(__xludf.DUMMYFUNCTION("AI(""Fill an appropriate value for this cell based on the table context"")"),"a confused or jumbled mixture of different things")</f>
        <v>a confused or jumbled mixture of different things</v>
      </c>
      <c r="C359" s="5" t="str">
        <f ca="1">IFERROR(__xludf.DUMMYFUNCTION("AI(""Fill an appropriate value for this cell based on the table context"")"),"jumble, mishmash, medley")</f>
        <v>jumble, mishmash, medley</v>
      </c>
      <c r="D359" s="5" t="str">
        <f ca="1">IFERROR(__xludf.DUMMYFUNCTION("AI(""Fill an appropriate value for this cell based on the table context"")"),"The bookshelf was a hodgepodge of old paperbacks, dusty textbooks, and recent bestsellers.")</f>
        <v>The bookshelf was a hodgepodge of old paperbacks, dusty textbooks, and recent bestsellers.</v>
      </c>
      <c r="E359" s="5"/>
      <c r="F359" s="5"/>
      <c r="G359" s="5"/>
      <c r="H359" s="5"/>
      <c r="I359" s="5"/>
      <c r="J359" s="5"/>
      <c r="K359" s="5"/>
      <c r="L359" s="5"/>
      <c r="M359" s="5"/>
      <c r="N359" s="5"/>
      <c r="O359" s="5"/>
      <c r="P359" s="5"/>
      <c r="Q359" s="5"/>
      <c r="R359" s="5"/>
      <c r="S359" s="5"/>
      <c r="T359" s="5"/>
      <c r="U359" s="5"/>
      <c r="V359" s="5"/>
      <c r="W359" s="5"/>
      <c r="X359" s="5"/>
      <c r="Y359" s="5"/>
      <c r="Z359" s="5"/>
    </row>
    <row r="360" spans="1:26" ht="12.5" x14ac:dyDescent="0.25">
      <c r="A360" s="5" t="s">
        <v>822</v>
      </c>
      <c r="B360" s="5" t="str">
        <f ca="1">IFERROR(__xludf.DUMMYFUNCTION("AI(""Fill an appropriate value for this cell based on the table context"")"),"a varied mixture or blend of different elements")</f>
        <v>a varied mixture or blend of different elements</v>
      </c>
      <c r="C360" s="5" t="str">
        <f ca="1">IFERROR(__xludf.DUMMYFUNCTION("AI(""Fill an appropriate value for this cell based on the table context"")"),"mixture, medley, hodgepodge")</f>
        <v>mixture, medley, hodgepodge</v>
      </c>
      <c r="D360" s="5" t="str">
        <f ca="1">IFERROR(__xludf.DUMMYFUNCTION("AI(""Fill an appropriate value for this cell based on the table context"")"),"The menu featured a delicious melange of local and international dishes.")</f>
        <v>The menu featured a delicious melange of local and international dishes.</v>
      </c>
      <c r="E360" s="5"/>
      <c r="F360" s="5"/>
      <c r="G360" s="5"/>
      <c r="H360" s="5"/>
      <c r="I360" s="5"/>
      <c r="J360" s="5"/>
      <c r="K360" s="5"/>
      <c r="L360" s="5"/>
      <c r="M360" s="5"/>
      <c r="N360" s="5"/>
      <c r="O360" s="5"/>
      <c r="P360" s="5"/>
      <c r="Q360" s="5"/>
      <c r="R360" s="5"/>
      <c r="S360" s="5"/>
      <c r="T360" s="5"/>
      <c r="U360" s="5"/>
      <c r="V360" s="5"/>
      <c r="W360" s="5"/>
      <c r="X360" s="5"/>
      <c r="Y360" s="5"/>
      <c r="Z360" s="5"/>
    </row>
    <row r="361" spans="1:26" ht="12.5" x14ac:dyDescent="0.25">
      <c r="A361" s="5" t="s">
        <v>823</v>
      </c>
      <c r="B361" s="5" t="str">
        <f ca="1">IFERROR(__xludf.DUMMYFUNCTION("AI(""Fill an appropriate value for this cell based on the table context"")"),"easily annoyed, bad-tempered, or quick to make sharp, snappish remarks")</f>
        <v>easily annoyed, bad-tempered, or quick to make sharp, snappish remarks</v>
      </c>
      <c r="C361" s="5" t="str">
        <f ca="1">IFERROR(__xludf.DUMMYFUNCTION("AI(""Fill an appropriate value for this cell based on the table context"")"),"irritable, petulant, snappish")</f>
        <v>irritable, petulant, snappish</v>
      </c>
      <c r="D361" s="5" t="str">
        <f ca="1">IFERROR(__xludf.DUMMYFUNCTION("AI(""Fill an appropriate value for this cell based on the table context"")"),"Her waspish remarks quickly offended everyone at the meeting.")</f>
        <v>Her waspish remarks quickly offended everyone at the meeting.</v>
      </c>
      <c r="E361" s="5"/>
      <c r="F361" s="5"/>
      <c r="G361" s="5"/>
      <c r="H361" s="5"/>
      <c r="I361" s="5"/>
      <c r="J361" s="5"/>
      <c r="K361" s="5"/>
      <c r="L361" s="5"/>
      <c r="M361" s="5"/>
      <c r="N361" s="5"/>
      <c r="O361" s="5"/>
      <c r="P361" s="5"/>
      <c r="Q361" s="5"/>
      <c r="R361" s="5"/>
      <c r="S361" s="5"/>
      <c r="T361" s="5"/>
      <c r="U361" s="5"/>
      <c r="V361" s="5"/>
      <c r="W361" s="5"/>
      <c r="X361" s="5"/>
      <c r="Y361" s="5"/>
      <c r="Z361" s="5"/>
    </row>
    <row r="362" spans="1:26" ht="12.5" x14ac:dyDescent="0.25">
      <c r="A362" s="5" t="s">
        <v>824</v>
      </c>
      <c r="B362" s="5" t="str">
        <f ca="1">IFERROR(__xludf.DUMMYFUNCTION("AI(""Fill an appropriate value for this cell based on the table context"")"),"bad-tempered, unfriendly, and rude")</f>
        <v>bad-tempered, unfriendly, and rude</v>
      </c>
      <c r="C362" s="5" t="str">
        <f ca="1">IFERROR(__xludf.DUMMYFUNCTION("AI(""Fill an appropriate value for this cell based on the table context"")"),"sullen, churlish, morose")</f>
        <v>sullen, churlish, morose</v>
      </c>
      <c r="D362" s="5" t="str">
        <f ca="1">IFERROR(__xludf.DUMMYFUNCTION("AI(""Fill an appropriate value for this cell based on the table context"")"),"The surly receptionist barely acknowledged us when we walked up to the desk.")</f>
        <v>The surly receptionist barely acknowledged us when we walked up to the desk.</v>
      </c>
      <c r="E362" s="5"/>
      <c r="F362" s="5"/>
      <c r="G362" s="5"/>
      <c r="H362" s="5"/>
      <c r="I362" s="5"/>
      <c r="J362" s="5"/>
      <c r="K362" s="5"/>
      <c r="L362" s="5"/>
      <c r="M362" s="5"/>
      <c r="N362" s="5"/>
      <c r="O362" s="5"/>
      <c r="P362" s="5"/>
      <c r="Q362" s="5"/>
      <c r="R362" s="5"/>
      <c r="S362" s="5"/>
      <c r="T362" s="5"/>
      <c r="U362" s="5"/>
      <c r="V362" s="5"/>
      <c r="W362" s="5"/>
      <c r="X362" s="5"/>
      <c r="Y362" s="5"/>
      <c r="Z362" s="5"/>
    </row>
    <row r="363" spans="1:26" ht="12.5" x14ac:dyDescent="0.25">
      <c r="A363" s="5" t="s">
        <v>825</v>
      </c>
      <c r="B363" s="5" t="str">
        <f ca="1">IFERROR(__xludf.DUMMYFUNCTION("AI(""Fill an appropriate value for this cell based on the table context"")"),"easily provoked to anger; irritable")</f>
        <v>easily provoked to anger; irritable</v>
      </c>
      <c r="C363" s="5" t="str">
        <f ca="1">IFERROR(__xludf.DUMMYFUNCTION("AI(""Fill an appropriate value for this cell based on the table context"")"),"irritable, testy, choleric")</f>
        <v>irritable, testy, choleric</v>
      </c>
      <c r="D363" s="5" t="str">
        <f ca="1">IFERROR(__xludf.DUMMYFUNCTION("AI(""Fill an appropriate value for this cell based on the table context"")"),"The irascible old man snapped at anyone who dared interrupt his reading.")</f>
        <v>The irascible old man snapped at anyone who dared interrupt his reading.</v>
      </c>
      <c r="E363" s="5"/>
      <c r="F363" s="5"/>
      <c r="G363" s="5"/>
      <c r="H363" s="5"/>
      <c r="I363" s="5"/>
      <c r="J363" s="5"/>
      <c r="K363" s="5"/>
      <c r="L363" s="5"/>
      <c r="M363" s="5"/>
      <c r="N363" s="5"/>
      <c r="O363" s="5"/>
      <c r="P363" s="5"/>
      <c r="Q363" s="5"/>
      <c r="R363" s="5"/>
      <c r="S363" s="5"/>
      <c r="T363" s="5"/>
      <c r="U363" s="5"/>
      <c r="V363" s="5"/>
      <c r="W363" s="5"/>
      <c r="X363" s="5"/>
      <c r="Y363" s="5"/>
      <c r="Z363" s="5"/>
    </row>
    <row r="364" spans="1:26" ht="12.5" x14ac:dyDescent="0.25">
      <c r="A364" s="5" t="s">
        <v>826</v>
      </c>
      <c r="B364" s="5" t="str">
        <f ca="1">IFERROR(__xludf.DUMMYFUNCTION("AI(""Fill an appropriate value for this cell based on the table context"")"),"incisive, forceful, and clear in expression or style")</f>
        <v>incisive, forceful, and clear in expression or style</v>
      </c>
      <c r="C364" s="5" t="str">
        <f ca="1">IFERROR(__xludf.DUMMYFUNCTION("AI(""Fill an appropriate value for this cell based on the table context"")"),"incisive, caustic, cutting")</f>
        <v>incisive, caustic, cutting</v>
      </c>
      <c r="D364" s="5" t="str">
        <f ca="1">IFERROR(__xludf.DUMMYFUNCTION("AI(""Fill an appropriate value for this cell based on the table context"")"),"Her trenchant criticism of the proposed policy forced the board to reconsider their decision.")</f>
        <v>Her trenchant criticism of the proposed policy forced the board to reconsider their decision.</v>
      </c>
      <c r="E364" s="5"/>
      <c r="F364" s="5"/>
      <c r="G364" s="5"/>
      <c r="H364" s="5"/>
      <c r="I364" s="5"/>
      <c r="J364" s="5"/>
      <c r="K364" s="5"/>
      <c r="L364" s="5"/>
      <c r="M364" s="5"/>
      <c r="N364" s="5"/>
      <c r="O364" s="5"/>
      <c r="P364" s="5"/>
      <c r="Q364" s="5"/>
      <c r="R364" s="5"/>
      <c r="S364" s="5"/>
      <c r="T364" s="5"/>
      <c r="U364" s="5"/>
      <c r="V364" s="5"/>
      <c r="W364" s="5"/>
      <c r="X364" s="5"/>
      <c r="Y364" s="5"/>
      <c r="Z364" s="5"/>
    </row>
    <row r="365" spans="1:26" ht="12.5" x14ac:dyDescent="0.25">
      <c r="A365" s="5" t="s">
        <v>827</v>
      </c>
      <c r="B365" s="5" t="str">
        <f ca="1">IFERROR(__xludf.DUMMYFUNCTION("AI(""Fill an appropriate value for this cell based on the table context"")"),"peculiar or individual; having strange or unusual habits or features")</f>
        <v>peculiar or individual; having strange or unusual habits or features</v>
      </c>
      <c r="C365" s="5" t="str">
        <f ca="1">IFERROR(__xludf.DUMMYFUNCTION("AI(""Fill an appropriate value for this cell based on the table context"")"),"peculiar, distinctive, eccentric")</f>
        <v>peculiar, distinctive, eccentric</v>
      </c>
      <c r="D365" s="5" t="str">
        <f ca="1">IFERROR(__xludf.DUMMYFUNCTION("AI(""Fill an appropriate value for this cell based on the table context"")"),"His idiosyncratic teaching methods were unorthodox, but they yielded impressive results.")</f>
        <v>His idiosyncratic teaching methods were unorthodox, but they yielded impressive results.</v>
      </c>
      <c r="E365" s="5"/>
      <c r="F365" s="5"/>
      <c r="G365" s="5"/>
      <c r="H365" s="5"/>
      <c r="I365" s="5"/>
      <c r="J365" s="5"/>
      <c r="K365" s="5"/>
      <c r="L365" s="5"/>
      <c r="M365" s="5"/>
      <c r="N365" s="5"/>
      <c r="O365" s="5"/>
      <c r="P365" s="5"/>
      <c r="Q365" s="5"/>
      <c r="R365" s="5"/>
      <c r="S365" s="5"/>
      <c r="T365" s="5"/>
      <c r="U365" s="5"/>
      <c r="V365" s="5"/>
      <c r="W365" s="5"/>
      <c r="X365" s="5"/>
      <c r="Y365" s="5"/>
      <c r="Z365" s="5"/>
    </row>
    <row r="366" spans="1:26" ht="12.5" x14ac:dyDescent="0.25">
      <c r="A366" s="5" t="s">
        <v>828</v>
      </c>
      <c r="B366" s="5" t="str">
        <f ca="1">IFERROR(__xludf.DUMMYFUNCTION("AI(""Fill an appropriate value for this cell based on the table context"")"),"characterized by violent emotions or turbulent behavior; stormy")</f>
        <v>characterized by violent emotions or turbulent behavior; stormy</v>
      </c>
      <c r="C366" s="5" t="str">
        <f ca="1">IFERROR(__xludf.DUMMYFUNCTION("AI(""Fill an appropriate value for this cell based on the table context"")"),"stormy, turbulent, tumultuous")</f>
        <v>stormy, turbulent, tumultuous</v>
      </c>
      <c r="D366" s="5" t="str">
        <f ca="1">IFERROR(__xludf.DUMMYFUNCTION("AI(""Fill an appropriate value for this cell based on the table context"")"),"They had a tempestuous relationship, marked by frequent arguments and intense emotion.")</f>
        <v>They had a tempestuous relationship, marked by frequent arguments and intense emotion.</v>
      </c>
      <c r="E366" s="5"/>
      <c r="F366" s="5"/>
      <c r="G366" s="5"/>
      <c r="H366" s="5"/>
      <c r="I366" s="5"/>
      <c r="J366" s="5"/>
      <c r="K366" s="5"/>
      <c r="L366" s="5"/>
      <c r="M366" s="5"/>
      <c r="N366" s="5"/>
      <c r="O366" s="5"/>
      <c r="P366" s="5"/>
      <c r="Q366" s="5"/>
      <c r="R366" s="5"/>
      <c r="S366" s="5"/>
      <c r="T366" s="5"/>
      <c r="U366" s="5"/>
      <c r="V366" s="5"/>
      <c r="W366" s="5"/>
      <c r="X366" s="5"/>
      <c r="Y366" s="5"/>
      <c r="Z366" s="5"/>
    </row>
    <row r="367" spans="1:26" ht="12.5" x14ac:dyDescent="0.25">
      <c r="A367" s="5" t="s">
        <v>829</v>
      </c>
      <c r="B367" s="5" t="str">
        <f ca="1">IFERROR(__xludf.DUMMYFUNCTION("AI(""Fill an appropriate value for this cell based on the table context"")"),"attribute or ascribe something to someone")</f>
        <v>attribute or ascribe something to someone</v>
      </c>
      <c r="C367" s="5" t="str">
        <f ca="1">IFERROR(__xludf.DUMMYFUNCTION("AI(""Fill an appropriate value for this cell based on the table context"")"),"ascribe, attribute, assign")</f>
        <v>ascribe, attribute, assign</v>
      </c>
      <c r="D367" s="5" t="str">
        <f ca="1">IFERROR(__xludf.DUMMYFUNCTION("AI(""Fill an appropriate value for this cell based on the table context"")"),"It is unfair to impute bad motives to someone without any evidence.")</f>
        <v>It is unfair to impute bad motives to someone without any evidence.</v>
      </c>
      <c r="E367" s="5"/>
      <c r="F367" s="5"/>
      <c r="G367" s="5"/>
      <c r="H367" s="5"/>
      <c r="I367" s="5"/>
      <c r="J367" s="5"/>
      <c r="K367" s="5"/>
      <c r="L367" s="5"/>
      <c r="M367" s="5"/>
      <c r="N367" s="5"/>
      <c r="O367" s="5"/>
      <c r="P367" s="5"/>
      <c r="Q367" s="5"/>
      <c r="R367" s="5"/>
      <c r="S367" s="5"/>
      <c r="T367" s="5"/>
      <c r="U367" s="5"/>
      <c r="V367" s="5"/>
      <c r="W367" s="5"/>
      <c r="X367" s="5"/>
      <c r="Y367" s="5"/>
      <c r="Z367" s="5"/>
    </row>
    <row r="368" spans="1:26" ht="12.5" x14ac:dyDescent="0.25">
      <c r="A368" s="5" t="s">
        <v>830</v>
      </c>
      <c r="B368" s="5" t="str">
        <f ca="1">IFERROR(__xludf.DUMMYFUNCTION("AI(""Fill an appropriate value for this cell based on the table context"")"),"attribute something to a cause, source, or author")</f>
        <v>attribute something to a cause, source, or author</v>
      </c>
      <c r="C368" s="5" t="str">
        <f ca="1">IFERROR(__xludf.DUMMYFUNCTION("AI(""Fill an appropriate value for this cell based on the table context"")"),"attribute, impute, assign")</f>
        <v>attribute, impute, assign</v>
      </c>
      <c r="D368" s="5" t="str">
        <f ca="1">IFERROR(__xludf.DUMMYFUNCTION("AI(""Fill an appropriate value for this cell based on the table context"")"),"He ascribed his success to hard work and dedication.")</f>
        <v>He ascribed his success to hard work and dedication.</v>
      </c>
      <c r="E368" s="5"/>
      <c r="F368" s="5"/>
      <c r="G368" s="5"/>
      <c r="H368" s="5"/>
      <c r="I368" s="5"/>
      <c r="J368" s="5"/>
      <c r="K368" s="5"/>
      <c r="L368" s="5"/>
      <c r="M368" s="5"/>
      <c r="N368" s="5"/>
      <c r="O368" s="5"/>
      <c r="P368" s="5"/>
      <c r="Q368" s="5"/>
      <c r="R368" s="5"/>
      <c r="S368" s="5"/>
      <c r="T368" s="5"/>
      <c r="U368" s="5"/>
      <c r="V368" s="5"/>
      <c r="W368" s="5"/>
      <c r="X368" s="5"/>
      <c r="Y368" s="5"/>
      <c r="Z368" s="5"/>
    </row>
    <row r="369" spans="1:26" ht="12.5" x14ac:dyDescent="0.25">
      <c r="A369" s="5" t="s">
        <v>831</v>
      </c>
      <c r="B369" s="5" t="str">
        <f ca="1">IFERROR(__xludf.DUMMYFUNCTION("AI(""Fill an appropriate value for this cell based on the table context"")"),"deliberately avoid using; abstain from; shun")</f>
        <v>deliberately avoid using; abstain from; shun</v>
      </c>
      <c r="C369" s="5" t="str">
        <f ca="1">IFERROR(__xludf.DUMMYFUNCTION("AI(""Fill an appropriate value for this cell based on the table context"")"),"avoid, shun, forgo")</f>
        <v>avoid, shun, forgo</v>
      </c>
      <c r="D369" s="5" t="str">
        <f ca="1">IFERROR(__xludf.DUMMYFUNCTION("AI(""Fill an appropriate value for this cell based on the table context"")"),"He chose to eschew violence and resolve the conflict peacefully.")</f>
        <v>He chose to eschew violence and resolve the conflict peacefully.</v>
      </c>
      <c r="E369" s="5"/>
      <c r="F369" s="5"/>
      <c r="G369" s="5"/>
      <c r="H369" s="5"/>
      <c r="I369" s="5"/>
      <c r="J369" s="5"/>
      <c r="K369" s="5"/>
      <c r="L369" s="5"/>
      <c r="M369" s="5"/>
      <c r="N369" s="5"/>
      <c r="O369" s="5"/>
      <c r="P369" s="5"/>
      <c r="Q369" s="5"/>
      <c r="R369" s="5"/>
      <c r="S369" s="5"/>
      <c r="T369" s="5"/>
      <c r="U369" s="5"/>
      <c r="V369" s="5"/>
      <c r="W369" s="5"/>
      <c r="X369" s="5"/>
      <c r="Y369" s="5"/>
      <c r="Z369" s="5"/>
    </row>
    <row r="370" spans="1:26" ht="12.5" x14ac:dyDescent="0.25">
      <c r="A370" s="5" t="s">
        <v>832</v>
      </c>
      <c r="B370" s="5" t="str">
        <f ca="1">IFERROR(__xludf.DUMMYFUNCTION("AI(""Fill an appropriate value for this cell based on the table context"")"),"avoid telling the truth or speaking evasively")</f>
        <v>avoid telling the truth or speaking evasively</v>
      </c>
      <c r="C370" s="5" t="str">
        <f ca="1">IFERROR(__xludf.DUMMYFUNCTION("AI(""Fill an appropriate value for this cell based on the table context"")"),"equivocating, paltering, hedging")</f>
        <v>equivocating, paltering, hedging</v>
      </c>
      <c r="D370" s="5" t="str">
        <f ca="1">IFERROR(__xludf.DUMMYFUNCTION("AI(""Fill an appropriate value for this cell based on the table context"")"),"The politician was accused of prevaricating when asked direct questions about the budget deficit.")</f>
        <v>The politician was accused of prevaricating when asked direct questions about the budget deficit.</v>
      </c>
      <c r="E370" s="5"/>
      <c r="F370" s="5"/>
      <c r="G370" s="5"/>
      <c r="H370" s="5"/>
      <c r="I370" s="5"/>
      <c r="J370" s="5"/>
      <c r="K370" s="5"/>
      <c r="L370" s="5"/>
      <c r="M370" s="5"/>
      <c r="N370" s="5"/>
      <c r="O370" s="5"/>
      <c r="P370" s="5"/>
      <c r="Q370" s="5"/>
      <c r="R370" s="5"/>
      <c r="S370" s="5"/>
      <c r="T370" s="5"/>
      <c r="U370" s="5"/>
      <c r="V370" s="5"/>
      <c r="W370" s="5"/>
      <c r="X370" s="5"/>
      <c r="Y370" s="5"/>
      <c r="Z370" s="5"/>
    </row>
    <row r="371" spans="1:26" ht="12.5" x14ac:dyDescent="0.25">
      <c r="A371" s="5" t="s">
        <v>833</v>
      </c>
      <c r="B371" s="5" t="str">
        <f ca="1">IFERROR(__xludf.DUMMYFUNCTION("AI(""Fill an appropriate value for this cell based on the table context"")"),"show that someone is not guilty of a fault or wrongdoing; clear from blame")</f>
        <v>show that someone is not guilty of a fault or wrongdoing; clear from blame</v>
      </c>
      <c r="C371" s="5" t="str">
        <f ca="1">IFERROR(__xludf.DUMMYFUNCTION("AI(""Fill an appropriate value for this cell based on the table context"")"),"absolve, acquit, exonerate")</f>
        <v>absolve, acquit, exonerate</v>
      </c>
      <c r="D371" s="5" t="str">
        <f ca="1">IFERROR(__xludf.DUMMYFUNCTION("AI(""Fill an appropriate value for this cell based on the table context"")"),"The photographic evidence revealed by the security camera was essential to exculpate the suspect.")</f>
        <v>The photographic evidence revealed by the security camera was essential to exculpate the suspect.</v>
      </c>
      <c r="E371" s="5"/>
      <c r="F371" s="5"/>
      <c r="G371" s="5"/>
      <c r="H371" s="5"/>
      <c r="I371" s="5"/>
      <c r="J371" s="5"/>
      <c r="K371" s="5"/>
      <c r="L371" s="5"/>
      <c r="M371" s="5"/>
      <c r="N371" s="5"/>
      <c r="O371" s="5"/>
      <c r="P371" s="5"/>
      <c r="Q371" s="5"/>
      <c r="R371" s="5"/>
      <c r="S371" s="5"/>
      <c r="T371" s="5"/>
      <c r="U371" s="5"/>
      <c r="V371" s="5"/>
      <c r="W371" s="5"/>
      <c r="X371" s="5"/>
      <c r="Y371" s="5"/>
      <c r="Z371" s="5"/>
    </row>
    <row r="372" spans="1:26" ht="12.5" x14ac:dyDescent="0.25">
      <c r="A372" s="5" t="s">
        <v>834</v>
      </c>
      <c r="B372" s="5" t="str">
        <f ca="1">IFERROR(__xludf.DUMMYFUNCTION("AI(""Fill an appropriate value for this cell based on the table context"")"),"Done or kept in secret, sometimes to conceal an illicit or improper purpose.")</f>
        <v>Done or kept in secret, sometimes to conceal an illicit or improper purpose.</v>
      </c>
      <c r="C372" s="5" t="str">
        <f ca="1">IFERROR(__xludf.DUMMYFUNCTION("AI(""Fill an appropriate value for this cell based on the table context"")"),"secret, covert, furtive")</f>
        <v>secret, covert, furtive</v>
      </c>
      <c r="D372" s="5" t="str">
        <f ca="1">IFERROR(__xludf.DUMMYFUNCTION("AI(""Fill an appropriate value for this cell based on the table context"")"),"Some of the longtime members began organizing clandestine meetings to discuss grievances.")</f>
        <v>Some of the longtime members began organizing clandestine meetings to discuss grievances.</v>
      </c>
      <c r="E372" s="5"/>
      <c r="F372" s="5"/>
      <c r="G372" s="5"/>
      <c r="H372" s="5"/>
      <c r="I372" s="5"/>
      <c r="J372" s="5"/>
      <c r="K372" s="5"/>
      <c r="L372" s="5"/>
      <c r="M372" s="5"/>
      <c r="N372" s="5"/>
      <c r="O372" s="5"/>
      <c r="P372" s="5"/>
      <c r="Q372" s="5"/>
      <c r="R372" s="5"/>
      <c r="S372" s="5"/>
      <c r="T372" s="5"/>
      <c r="U372" s="5"/>
      <c r="V372" s="5"/>
      <c r="W372" s="5"/>
      <c r="X372" s="5"/>
      <c r="Y372" s="5"/>
      <c r="Z372" s="5"/>
    </row>
    <row r="373" spans="1:26" ht="25" x14ac:dyDescent="0.25">
      <c r="A373" s="5" t="s">
        <v>835</v>
      </c>
      <c r="B373" s="5" t="str">
        <f ca="1">IFERROR(__xludf.DUMMYFUNCTION("AI(""Fill an appropriate value for this cell based on the table context"")"),"done or kept in secret, especially to avoid notice")</f>
        <v>done or kept in secret, especially to avoid notice</v>
      </c>
      <c r="C373" s="5" t="str">
        <f ca="1">IFERROR(__xludf.DUMMYFUNCTION("AI(""Fill an appropriate value for this cell based on the table context"")"),"furtive, stealthy, secret, clandestine, covert")</f>
        <v>furtive, stealthy, secret, clandestine, covert</v>
      </c>
      <c r="D373" s="5" t="str">
        <f ca="1">IFERROR(__xludf.DUMMYFUNCTION("AI(""Fill an appropriate value for this cell based on the table context"")"),"She took a surreptitious glance at her watch during the long meeting.")</f>
        <v>She took a surreptitious glance at her watch during the long meeting.</v>
      </c>
      <c r="E373" s="5"/>
      <c r="F373" s="5"/>
      <c r="G373" s="5"/>
      <c r="H373" s="5"/>
      <c r="I373" s="5"/>
      <c r="J373" s="5"/>
      <c r="K373" s="5"/>
      <c r="L373" s="5"/>
      <c r="M373" s="5"/>
      <c r="N373" s="5"/>
      <c r="O373" s="5"/>
      <c r="P373" s="5"/>
      <c r="Q373" s="5"/>
      <c r="R373" s="5"/>
      <c r="S373" s="5"/>
      <c r="T373" s="5"/>
      <c r="U373" s="5"/>
      <c r="V373" s="5"/>
      <c r="W373" s="5"/>
      <c r="X373" s="5"/>
      <c r="Y373" s="5"/>
      <c r="Z373" s="5"/>
    </row>
    <row r="374" spans="1:26" ht="25" x14ac:dyDescent="0.25">
      <c r="A374" s="5" t="s">
        <v>836</v>
      </c>
      <c r="B374" s="5" t="str">
        <f ca="1">IFERROR(__xludf.DUMMYFUNCTION("AI(""Fill an appropriate value for this cell based on the table context"")"),"lacking foresight or scope; shortsighted")</f>
        <v>lacking foresight or scope; shortsighted</v>
      </c>
      <c r="C374" s="5" t="str">
        <f ca="1">IFERROR(__xludf.DUMMYFUNCTION("AI(""Fill an appropriate value for this cell based on the table context"")"),"shortsighted, nearsighted, narrow-minded")</f>
        <v>shortsighted, nearsighted, narrow-minded</v>
      </c>
      <c r="D374" s="5" t="str">
        <f ca="1">IFERROR(__xludf.DUMMYFUNCTION("AI(""Fill an appropriate value for this cell based on the table context"")"),"His myopic focus on short-term profits severely harmed the company's long-term growth.")</f>
        <v>His myopic focus on short-term profits severely harmed the company's long-term growth.</v>
      </c>
      <c r="E374" s="5"/>
      <c r="F374" s="5"/>
      <c r="G374" s="5"/>
      <c r="H374" s="5"/>
      <c r="I374" s="5"/>
      <c r="J374" s="5"/>
      <c r="K374" s="5"/>
      <c r="L374" s="5"/>
      <c r="M374" s="5"/>
      <c r="N374" s="5"/>
      <c r="O374" s="5"/>
      <c r="P374" s="5"/>
      <c r="Q374" s="5"/>
      <c r="R374" s="5"/>
      <c r="S374" s="5"/>
      <c r="T374" s="5"/>
      <c r="U374" s="5"/>
      <c r="V374" s="5"/>
      <c r="W374" s="5"/>
      <c r="X374" s="5"/>
      <c r="Y374" s="5"/>
      <c r="Z374" s="5"/>
    </row>
    <row r="375" spans="1:26" ht="12.5" x14ac:dyDescent="0.25">
      <c r="A375" s="5" t="s">
        <v>837</v>
      </c>
      <c r="B375" s="5" t="str">
        <f ca="1">IFERROR(__xludf.DUMMYFUNCTION("AI(""Fill an appropriate value for this cell based on the table context"")"),"showing a casual lack of concern; carefree and nonchalant")</f>
        <v>showing a casual lack of concern; carefree and nonchalant</v>
      </c>
      <c r="C375" s="5" t="str">
        <f ca="1">IFERROR(__xludf.DUMMYFUNCTION("AI(""Fill an appropriate value for this cell based on the table context"")"),"nonchalant, carefree, unconcerned")</f>
        <v>nonchalant, carefree, unconcerned</v>
      </c>
      <c r="D375" s="5" t="str">
        <f ca="1">IFERROR(__xludf.DUMMYFUNCTION("AI(""Fill an appropriate value for this cell based on the table context"")"),"His insouciant attitude made him appear calm, even in stressful situations.")</f>
        <v>His insouciant attitude made him appear calm, even in stressful situations.</v>
      </c>
      <c r="E375" s="5"/>
      <c r="F375" s="5"/>
      <c r="G375" s="5"/>
      <c r="H375" s="5"/>
      <c r="I375" s="5"/>
      <c r="J375" s="5"/>
      <c r="K375" s="5"/>
      <c r="L375" s="5"/>
      <c r="M375" s="5"/>
      <c r="N375" s="5"/>
      <c r="O375" s="5"/>
      <c r="P375" s="5"/>
      <c r="Q375" s="5"/>
      <c r="R375" s="5"/>
      <c r="S375" s="5"/>
      <c r="T375" s="5"/>
      <c r="U375" s="5"/>
      <c r="V375" s="5"/>
      <c r="W375" s="5"/>
      <c r="X375" s="5"/>
      <c r="Y375" s="5"/>
      <c r="Z375" s="5"/>
    </row>
    <row r="376" spans="1:26" ht="12.5" x14ac:dyDescent="0.25">
      <c r="A376" s="5" t="s">
        <v>838</v>
      </c>
      <c r="B376" s="5" t="str">
        <f ca="1">IFERROR(__xludf.DUMMYFUNCTION("AI(""Fill an appropriate value for this cell based on the table context"")"),"predict or be a sign of a future event, especially from omens")</f>
        <v>predict or be a sign of a future event, especially from omens</v>
      </c>
      <c r="C376" s="5" t="str">
        <f ca="1">IFERROR(__xludf.DUMMYFUNCTION("AI(""Fill an appropriate value for this cell based on the table context"")"),"bode, presage, portend")</f>
        <v>bode, presage, portend</v>
      </c>
      <c r="D376" s="5" t="str">
        <f ca="1">IFERROR(__xludf.DUMMYFUNCTION("AI(""Fill an appropriate value for this cell based on the table context"")"),"The economic indicators augur well for the future growth of the company.")</f>
        <v>The economic indicators augur well for the future growth of the company.</v>
      </c>
      <c r="E376" s="5"/>
      <c r="F376" s="5"/>
      <c r="G376" s="5"/>
      <c r="H376" s="5"/>
      <c r="I376" s="5"/>
      <c r="J376" s="5"/>
      <c r="K376" s="5"/>
      <c r="L376" s="5"/>
      <c r="M376" s="5"/>
      <c r="N376" s="5"/>
      <c r="O376" s="5"/>
      <c r="P376" s="5"/>
      <c r="Q376" s="5"/>
      <c r="R376" s="5"/>
      <c r="S376" s="5"/>
      <c r="T376" s="5"/>
      <c r="U376" s="5"/>
      <c r="V376" s="5"/>
      <c r="W376" s="5"/>
      <c r="X376" s="5"/>
      <c r="Y376" s="5"/>
      <c r="Z376" s="5"/>
    </row>
    <row r="377" spans="1:26" ht="12.5" x14ac:dyDescent="0.25">
      <c r="A377" s="5" t="s">
        <v>839</v>
      </c>
      <c r="B377" s="5" t="str">
        <f ca="1">IFERROR(__xludf.DUMMYFUNCTION("AI(""Fill an appropriate value for this cell based on the table context"")"),"drained of energy or vitality; weakened")</f>
        <v>drained of energy or vitality; weakened</v>
      </c>
      <c r="C377" s="5" t="str">
        <f ca="1">IFERROR(__xludf.DUMMYFUNCTION("AI(""Fill an appropriate value for this cell based on the table context"")"),"weakened, exhausted, enfeebled")</f>
        <v>weakened, exhausted, enfeebled</v>
      </c>
      <c r="D377" s="5" t="str">
        <f ca="1">IFERROR(__xludf.DUMMYFUNCTION("AI(""Fill an appropriate value for this cell based on the table context"")"),"The hot summer sun enervated the hikers, forcing them to rest in the shade.")</f>
        <v>The hot summer sun enervated the hikers, forcing them to rest in the shade.</v>
      </c>
      <c r="E377" s="5"/>
      <c r="F377" s="5"/>
      <c r="G377" s="5"/>
      <c r="H377" s="5"/>
      <c r="I377" s="5"/>
      <c r="J377" s="5"/>
      <c r="K377" s="5"/>
      <c r="L377" s="5"/>
      <c r="M377" s="5"/>
      <c r="N377" s="5"/>
      <c r="O377" s="5"/>
      <c r="P377" s="5"/>
      <c r="Q377" s="5"/>
      <c r="R377" s="5"/>
      <c r="S377" s="5"/>
      <c r="T377" s="5"/>
      <c r="U377" s="5"/>
      <c r="V377" s="5"/>
      <c r="W377" s="5"/>
      <c r="X377" s="5"/>
      <c r="Y377" s="5"/>
      <c r="Z377" s="5"/>
    </row>
    <row r="378" spans="1:26" ht="12.5" x14ac:dyDescent="0.25">
      <c r="A378" s="5" t="s">
        <v>840</v>
      </c>
      <c r="B378" s="5" t="str">
        <f ca="1">IFERROR(__xludf.DUMMYFUNCTION("AI(""Fill an appropriate value for this cell based on the table context"")"),"pleasantly lazy and lacking energy; characterized by dreamy relaxation")</f>
        <v>pleasantly lazy and lacking energy; characterized by dreamy relaxation</v>
      </c>
      <c r="C378" s="5" t="str">
        <f ca="1">IFERROR(__xludf.DUMMYFUNCTION("AI(""Fill an appropriate value for this cell based on the table context"")"),"languid, listless, lethargic")</f>
        <v>languid, listless, lethargic</v>
      </c>
      <c r="D378" s="5" t="str">
        <f ca="1">IFERROR(__xludf.DUMMYFUNCTION("AI(""Fill an appropriate value for this cell based on the table context"")"),"They spent a languorous afternoon relaxing by the pool in the warm summer sun.")</f>
        <v>They spent a languorous afternoon relaxing by the pool in the warm summer sun.</v>
      </c>
      <c r="E378" s="5"/>
      <c r="F378" s="5"/>
      <c r="G378" s="5"/>
      <c r="H378" s="5"/>
      <c r="I378" s="5"/>
      <c r="J378" s="5"/>
      <c r="K378" s="5"/>
      <c r="L378" s="5"/>
      <c r="M378" s="5"/>
      <c r="N378" s="5"/>
      <c r="O378" s="5"/>
      <c r="P378" s="5"/>
      <c r="Q378" s="5"/>
      <c r="R378" s="5"/>
      <c r="S378" s="5"/>
      <c r="T378" s="5"/>
      <c r="U378" s="5"/>
      <c r="V378" s="5"/>
      <c r="W378" s="5"/>
      <c r="X378" s="5"/>
      <c r="Y378" s="5"/>
      <c r="Z378" s="5"/>
    </row>
    <row r="379" spans="1:26" ht="12.5" x14ac:dyDescent="0.25">
      <c r="A379" s="5" t="s">
        <v>841</v>
      </c>
      <c r="B379" s="5" t="str">
        <f ca="1">IFERROR(__xludf.DUMMYFUNCTION("AI(""Fill an appropriate value for this cell based on the table context"")"),"having a calm, unemotional, and sluggish temperament")</f>
        <v>having a calm, unemotional, and sluggish temperament</v>
      </c>
      <c r="C379" s="5" t="str">
        <f ca="1">IFERROR(__xludf.DUMMYFUNCTION("AI(""Fill an appropriate value for this cell based on the table context"")"),"unemotional, apathetic, stolid")</f>
        <v>unemotional, apathetic, stolid</v>
      </c>
      <c r="D379" s="5" t="str">
        <f ca="1">IFERROR(__xludf.DUMMYFUNCTION("AI(""Fill an appropriate value for this cell based on the table context"")"),"Despite the stressful situation, he remained phlegmatic and reacted with a calm demeanor.")</f>
        <v>Despite the stressful situation, he remained phlegmatic and reacted with a calm demeanor.</v>
      </c>
      <c r="E379" s="5"/>
      <c r="F379" s="5"/>
      <c r="G379" s="5"/>
      <c r="H379" s="5"/>
      <c r="I379" s="5"/>
      <c r="J379" s="5"/>
      <c r="K379" s="5"/>
      <c r="L379" s="5"/>
      <c r="M379" s="5"/>
      <c r="N379" s="5"/>
      <c r="O379" s="5"/>
      <c r="P379" s="5"/>
      <c r="Q379" s="5"/>
      <c r="R379" s="5"/>
      <c r="S379" s="5"/>
      <c r="T379" s="5"/>
      <c r="U379" s="5"/>
      <c r="V379" s="5"/>
      <c r="W379" s="5"/>
      <c r="X379" s="5"/>
      <c r="Y379" s="5"/>
      <c r="Z379" s="5"/>
    </row>
    <row r="380" spans="1:26" ht="12.5" x14ac:dyDescent="0.25">
      <c r="A380" s="5" t="s">
        <v>842</v>
      </c>
      <c r="B380" s="5" t="str">
        <f ca="1">IFERROR(__xludf.DUMMYFUNCTION("AI(""Fill an appropriate value for this cell based on the table context"")"),"overflowing with enthusiasm or energy; cheerful and full of high spirits")</f>
        <v>overflowing with enthusiasm or energy; cheerful and full of high spirits</v>
      </c>
      <c r="C380" s="5" t="str">
        <f ca="1">IFERROR(__xludf.DUMMYFUNCTION("AI(""Fill an appropriate value for this cell based on the table context"")"),"exuberant, effervescent, buoyant")</f>
        <v>exuberant, effervescent, buoyant</v>
      </c>
      <c r="D380" s="5" t="str">
        <f ca="1">IFERROR(__xludf.DUMMYFUNCTION("AI(""Fill an appropriate value for this cell based on the table context"")"),"Her ebullient personality made her the life of the party.")</f>
        <v>Her ebullient personality made her the life of the party.</v>
      </c>
      <c r="E380" s="5"/>
      <c r="F380" s="5"/>
      <c r="G380" s="5"/>
      <c r="H380" s="5"/>
      <c r="I380" s="5"/>
      <c r="J380" s="5"/>
      <c r="K380" s="5"/>
      <c r="L380" s="5"/>
      <c r="M380" s="5"/>
      <c r="N380" s="5"/>
      <c r="O380" s="5"/>
      <c r="P380" s="5"/>
      <c r="Q380" s="5"/>
      <c r="R380" s="5"/>
      <c r="S380" s="5"/>
      <c r="T380" s="5"/>
      <c r="U380" s="5"/>
      <c r="V380" s="5"/>
      <c r="W380" s="5"/>
      <c r="X380" s="5"/>
      <c r="Y380" s="5"/>
      <c r="Z380" s="5"/>
    </row>
    <row r="381" spans="1:26" ht="12.5" x14ac:dyDescent="0.25">
      <c r="A381" s="5" t="s">
        <v>843</v>
      </c>
      <c r="B381" s="5" t="str">
        <f ca="1">IFERROR(__xludf.DUMMYFUNCTION("AI(""Fill an appropriate value for this cell based on the table context"")"),"noisy, energetic, and rowdy or unrestrained")</f>
        <v>noisy, energetic, and rowdy or unrestrained</v>
      </c>
      <c r="C381" s="5" t="str">
        <f ca="1">IFERROR(__xludf.DUMMYFUNCTION("AI(""Fill an appropriate value for this cell based on the table context"")"),"rowdy, noisy, clamorous")</f>
        <v>rowdy, noisy, clamorous</v>
      </c>
      <c r="D381" s="5" t="str">
        <f ca="1">IFERROR(__xludf.DUMMYFUNCTION("AI(""Fill an appropriate value for this cell based on the table context"")"),"The boisterous crowd cheered loudly as the home team scored the winning goal.")</f>
        <v>The boisterous crowd cheered loudly as the home team scored the winning goal.</v>
      </c>
      <c r="E381" s="5"/>
      <c r="F381" s="5"/>
      <c r="G381" s="5"/>
      <c r="H381" s="5"/>
      <c r="I381" s="5"/>
      <c r="J381" s="5"/>
      <c r="K381" s="5"/>
      <c r="L381" s="5"/>
      <c r="M381" s="5"/>
      <c r="N381" s="5"/>
      <c r="O381" s="5"/>
      <c r="P381" s="5"/>
      <c r="Q381" s="5"/>
      <c r="R381" s="5"/>
      <c r="S381" s="5"/>
      <c r="T381" s="5"/>
      <c r="U381" s="5"/>
      <c r="V381" s="5"/>
      <c r="W381" s="5"/>
      <c r="X381" s="5"/>
      <c r="Y381" s="5"/>
      <c r="Z381" s="5"/>
    </row>
    <row r="382" spans="1:26" ht="12.5" x14ac:dyDescent="0.25">
      <c r="A382" s="5" t="s">
        <v>844</v>
      </c>
      <c r="B382" s="5" t="str">
        <f ca="1">IFERROR(__xludf.DUMMYFUNCTION("AI(""Fill an appropriate value for this cell based on the table context"")"),"rude, unfriendly, or bad-tempered")</f>
        <v>rude, unfriendly, or bad-tempered</v>
      </c>
      <c r="C382" s="5" t="str">
        <f ca="1">IFERROR(__xludf.DUMMYFUNCTION("AI(""Fill an appropriate value for this cell based on the table context"")"),"boorish, loutish, surly")</f>
        <v>boorish, loutish, surly</v>
      </c>
      <c r="D382" s="5" t="str">
        <f ca="1">IFERROR(__xludf.DUMMYFUNCTION("AI(""Fill an appropriate value for this cell based on the table context"")"),"His churlish behavior at the dinner party shocked and offended the other guests.")</f>
        <v>His churlish behavior at the dinner party shocked and offended the other guests.</v>
      </c>
      <c r="E382" s="5"/>
      <c r="F382" s="5"/>
      <c r="G382" s="5"/>
      <c r="H382" s="5"/>
      <c r="I382" s="5"/>
      <c r="J382" s="5"/>
      <c r="K382" s="5"/>
      <c r="L382" s="5"/>
      <c r="M382" s="5"/>
      <c r="N382" s="5"/>
      <c r="O382" s="5"/>
      <c r="P382" s="5"/>
      <c r="Q382" s="5"/>
      <c r="R382" s="5"/>
      <c r="S382" s="5"/>
      <c r="T382" s="5"/>
      <c r="U382" s="5"/>
      <c r="V382" s="5"/>
      <c r="W382" s="5"/>
      <c r="X382" s="5"/>
      <c r="Y382" s="5"/>
      <c r="Z382" s="5"/>
    </row>
    <row r="383" spans="1:26" ht="12.5" x14ac:dyDescent="0.25">
      <c r="A383" s="5" t="s">
        <v>845</v>
      </c>
      <c r="B383" s="5" t="str">
        <f ca="1">IFERROR(__xludf.DUMMYFUNCTION("AI(""Fill an appropriate value for this cell based on the table context"")"),"ill-mannered, rude, and aggressive")</f>
        <v>ill-mannered, rude, and aggressive</v>
      </c>
      <c r="C383" s="5" t="str">
        <f ca="1">IFERROR(__xludf.DUMMYFUNCTION("AI(""Fill an appropriate value for this cell based on the table context"")"),"boorish, churlish, uncouth")</f>
        <v>boorish, churlish, uncouth</v>
      </c>
      <c r="D383" s="5" t="str">
        <f ca="1">IFERROR(__xludf.DUMMYFUNCTION("AI(""Fill an appropriate value for this cell based on the table context"")"),"The security guards were forced to escort the loutish fan out of the stadium after he began throwing drinks at other spectators.")</f>
        <v>The security guards were forced to escort the loutish fan out of the stadium after he began throwing drinks at other spectators.</v>
      </c>
      <c r="E383" s="5"/>
      <c r="F383" s="5"/>
      <c r="G383" s="5"/>
      <c r="H383" s="5"/>
      <c r="I383" s="5"/>
      <c r="J383" s="5"/>
      <c r="K383" s="5"/>
      <c r="L383" s="5"/>
      <c r="M383" s="5"/>
      <c r="N383" s="5"/>
      <c r="O383" s="5"/>
      <c r="P383" s="5"/>
      <c r="Q383" s="5"/>
      <c r="R383" s="5"/>
      <c r="S383" s="5"/>
      <c r="T383" s="5"/>
      <c r="U383" s="5"/>
      <c r="V383" s="5"/>
      <c r="W383" s="5"/>
      <c r="X383" s="5"/>
      <c r="Y383" s="5"/>
      <c r="Z383" s="5"/>
    </row>
    <row r="384" spans="1:26" ht="12.5" x14ac:dyDescent="0.25">
      <c r="A384" s="5" t="s">
        <v>846</v>
      </c>
      <c r="B384" s="5" t="str">
        <f ca="1">IFERROR(__xludf.DUMMYFUNCTION("AI(""Fill an appropriate value for this cell based on the table context"")"),"amusing in an odd or whimsical way")</f>
        <v>amusing in an odd or whimsical way</v>
      </c>
      <c r="C384" s="5" t="str">
        <f ca="1">IFERROR(__xludf.DUMMYFUNCTION("AI(""Fill an appropriate value for this cell based on the table context"")"),"amusing, comical, whimsical")</f>
        <v>amusing, comical, whimsical</v>
      </c>
      <c r="D384" s="5" t="str">
        <f ca="1">IFERROR(__xludf.DUMMYFUNCTION("AI(""Fill an appropriate value for this cell based on the table context"")"),"His droll sense of humor made everyone at the dinner table laugh.")</f>
        <v>His droll sense of humor made everyone at the dinner table laugh.</v>
      </c>
      <c r="E384" s="5"/>
      <c r="F384" s="5"/>
      <c r="G384" s="5"/>
      <c r="H384" s="5"/>
      <c r="I384" s="5"/>
      <c r="J384" s="5"/>
      <c r="K384" s="5"/>
      <c r="L384" s="5"/>
      <c r="M384" s="5"/>
      <c r="N384" s="5"/>
      <c r="O384" s="5"/>
      <c r="P384" s="5"/>
      <c r="Q384" s="5"/>
      <c r="R384" s="5"/>
      <c r="S384" s="5"/>
      <c r="T384" s="5"/>
      <c r="U384" s="5"/>
      <c r="V384" s="5"/>
      <c r="W384" s="5"/>
      <c r="X384" s="5"/>
      <c r="Y384" s="5"/>
      <c r="Z384" s="5"/>
    </row>
    <row r="385" spans="1:26" ht="12.5" x14ac:dyDescent="0.25">
      <c r="A385" s="5" t="s">
        <v>847</v>
      </c>
      <c r="B385" s="5" t="str">
        <f ca="1">IFERROR(__xludf.DUMMYFUNCTION("AI(""Fill an appropriate value for this cell based on the table context"")"),"full of laughter, humor, or happiness")</f>
        <v>full of laughter, humor, or happiness</v>
      </c>
      <c r="C385" s="5" t="str">
        <f ca="1">IFERROR(__xludf.DUMMYFUNCTION("AI(""Fill an appropriate value for this cell based on the table context"")"),"merry, jolly, cheerful")</f>
        <v>merry, jolly, cheerful</v>
      </c>
      <c r="D385" s="5" t="str">
        <f ca="1">IFERROR(__xludf.DUMMYFUNCTION("AI(""Fill an appropriate value for this cell based on the table context"")"),"Her mirthful laughter filled the room and instantly brightened everyone's mood.")</f>
        <v>Her mirthful laughter filled the room and instantly brightened everyone's mood.</v>
      </c>
      <c r="E385" s="5"/>
      <c r="F385" s="5"/>
      <c r="G385" s="5"/>
      <c r="H385" s="5"/>
      <c r="I385" s="5"/>
      <c r="J385" s="5"/>
      <c r="K385" s="5"/>
      <c r="L385" s="5"/>
      <c r="M385" s="5"/>
      <c r="N385" s="5"/>
      <c r="O385" s="5"/>
      <c r="P385" s="5"/>
      <c r="Q385" s="5"/>
      <c r="R385" s="5"/>
      <c r="S385" s="5"/>
      <c r="T385" s="5"/>
      <c r="U385" s="5"/>
      <c r="V385" s="5"/>
      <c r="W385" s="5"/>
      <c r="X385" s="5"/>
      <c r="Y385" s="5"/>
      <c r="Z385" s="5"/>
    </row>
    <row r="386" spans="1:26" ht="12.5" x14ac:dyDescent="0.25">
      <c r="A386" s="5" t="s">
        <v>848</v>
      </c>
      <c r="B386" s="5" t="str">
        <f ca="1">IFERROR(__xludf.DUMMYFUNCTION("AI(""Fill an appropriate value for this cell based on the table context"")"),"easily angered; easily provoked to anger")</f>
        <v>easily angered; easily provoked to anger</v>
      </c>
      <c r="C386" s="5" t="str">
        <f ca="1">IFERROR(__xludf.DUMMYFUNCTION("AI(""Fill an appropriate value for this cell based on the table context"")"),"irritable, testy, choleric")</f>
        <v>irritable, testy, choleric</v>
      </c>
      <c r="D386" s="5" t="str">
        <f ca="1">IFERROR(__xludf.DUMMYFUNCTION("AI(""Fill an appropriate value for this cell based on the table context"")"),"The irascible old man snapped at anyone who dared to disturb his afternoon quiet.")</f>
        <v>The irascible old man snapped at anyone who dared to disturb his afternoon quiet.</v>
      </c>
      <c r="E386" s="5"/>
      <c r="F386" s="5"/>
      <c r="G386" s="5"/>
      <c r="H386" s="5"/>
      <c r="I386" s="5"/>
      <c r="J386" s="5"/>
      <c r="K386" s="5"/>
      <c r="L386" s="5"/>
      <c r="M386" s="5"/>
      <c r="N386" s="5"/>
      <c r="O386" s="5"/>
      <c r="P386" s="5"/>
      <c r="Q386" s="5"/>
      <c r="R386" s="5"/>
      <c r="S386" s="5"/>
      <c r="T386" s="5"/>
      <c r="U386" s="5"/>
      <c r="V386" s="5"/>
      <c r="W386" s="5"/>
      <c r="X386" s="5"/>
      <c r="Y386" s="5"/>
      <c r="Z386" s="5"/>
    </row>
    <row r="387" spans="1:26" ht="12.5" x14ac:dyDescent="0.25">
      <c r="A387" s="5" t="s">
        <v>849</v>
      </c>
      <c r="B387" s="5" t="str">
        <f ca="1">IFERROR(__xludf.DUMMYFUNCTION("AI(""Fill an appropriate value for this cell based on the table context"")"),"easily irritated or annoyed; unruly and difficult to control")</f>
        <v>easily irritated or annoyed; unruly and difficult to control</v>
      </c>
      <c r="C387" s="5" t="str">
        <f ca="1">IFERROR(__xludf.DUMMYFUNCTION("AI(""Fill an appropriate value for this cell based on the table context"")"),"irritable, unruly, peevish")</f>
        <v>irritable, unruly, peevish</v>
      </c>
      <c r="D387" s="5" t="str">
        <f ca="1">IFERROR(__xludf.DUMMYFUNCTION("AI(""Fill an appropriate value for this cell based on the table context"")"),"The inexperienced teacher found the fractious students difficult to control.")</f>
        <v>The inexperienced teacher found the fractious students difficult to control.</v>
      </c>
      <c r="E387" s="5"/>
      <c r="F387" s="5"/>
      <c r="G387" s="5"/>
      <c r="H387" s="5"/>
      <c r="I387" s="5"/>
      <c r="J387" s="5"/>
      <c r="K387" s="5"/>
      <c r="L387" s="5"/>
      <c r="M387" s="5"/>
      <c r="N387" s="5"/>
      <c r="O387" s="5"/>
      <c r="P387" s="5"/>
      <c r="Q387" s="5"/>
      <c r="R387" s="5"/>
      <c r="S387" s="5"/>
      <c r="T387" s="5"/>
      <c r="U387" s="5"/>
      <c r="V387" s="5"/>
      <c r="W387" s="5"/>
      <c r="X387" s="5"/>
      <c r="Y387" s="5"/>
      <c r="Z387" s="5"/>
    </row>
    <row r="388" spans="1:26" ht="12.5" x14ac:dyDescent="0.25">
      <c r="A388" s="5" t="s">
        <v>850</v>
      </c>
      <c r="B388" s="5" t="str">
        <f ca="1">IFERROR(__xludf.DUMMYFUNCTION("AI(""Fill an appropriate value for this cell based on the table context"")"),"a scheme, theory, or medicine, especially one that is ineffective or unproven")</f>
        <v>a scheme, theory, or medicine, especially one that is ineffective or unproven</v>
      </c>
      <c r="C388" s="5" t="str">
        <f ca="1">IFERROR(__xludf.DUMMYFUNCTION("AI(""Fill an appropriate value for this cell based on the table context"")"),"cure-all, panacea, remedy")</f>
        <v>cure-all, panacea, remedy</v>
      </c>
      <c r="D388" s="5" t="str">
        <f ca="1">IFERROR(__xludf.DUMMYFUNCTION("AI(""Fill an appropriate value for this cell based on the table context"")"),"The politician offered a quick economic nostrum that failed to address any of the actual issues.")</f>
        <v>The politician offered a quick economic nostrum that failed to address any of the actual issues.</v>
      </c>
      <c r="E388" s="5"/>
      <c r="F388" s="5"/>
      <c r="G388" s="5"/>
      <c r="H388" s="5"/>
      <c r="I388" s="5"/>
      <c r="J388" s="5"/>
      <c r="K388" s="5"/>
      <c r="L388" s="5"/>
      <c r="M388" s="5"/>
      <c r="N388" s="5"/>
      <c r="O388" s="5"/>
      <c r="P388" s="5"/>
      <c r="Q388" s="5"/>
      <c r="R388" s="5"/>
      <c r="S388" s="5"/>
      <c r="T388" s="5"/>
      <c r="U388" s="5"/>
      <c r="V388" s="5"/>
      <c r="W388" s="5"/>
      <c r="X388" s="5"/>
      <c r="Y388" s="5"/>
      <c r="Z388" s="5"/>
    </row>
    <row r="389" spans="1:26" ht="12.5" x14ac:dyDescent="0.25">
      <c r="A389" s="5" t="s">
        <v>851</v>
      </c>
      <c r="B389" s="5" t="str">
        <f ca="1">IFERROR(__xludf.DUMMYFUNCTION("AI(""Fill an appropriate value for this cell based on the table context"")"),"strong liking or inclination for something")</f>
        <v>strong liking or inclination for something</v>
      </c>
      <c r="C389" s="5" t="str">
        <f ca="1">IFERROR(__xludf.DUMMYFUNCTION("AI(""Fill an appropriate value for this cell based on the table context"")"),"liking, inclination, proclivity")</f>
        <v>liking, inclination, proclivity</v>
      </c>
      <c r="D389" s="5" t="str">
        <f ca="1">IFERROR(__xludf.DUMMYFUNCTION("AI(""Fill an appropriate value for this cell based on the table context"")"),"She has a penchant for collecting rare books and vintage maps.")</f>
        <v>She has a penchant for collecting rare books and vintage maps.</v>
      </c>
      <c r="E389" s="5"/>
      <c r="F389" s="5"/>
      <c r="G389" s="5"/>
      <c r="H389" s="5"/>
      <c r="I389" s="5"/>
      <c r="J389" s="5"/>
      <c r="K389" s="5"/>
      <c r="L389" s="5"/>
      <c r="M389" s="5"/>
      <c r="N389" s="5"/>
      <c r="O389" s="5"/>
      <c r="P389" s="5"/>
      <c r="Q389" s="5"/>
      <c r="R389" s="5"/>
      <c r="S389" s="5"/>
      <c r="T389" s="5"/>
      <c r="U389" s="5"/>
      <c r="V389" s="5"/>
      <c r="W389" s="5"/>
      <c r="X389" s="5"/>
      <c r="Y389" s="5"/>
      <c r="Z389" s="5"/>
    </row>
    <row r="390" spans="1:26" ht="12.5" x14ac:dyDescent="0.25">
      <c r="A390" s="5" t="s">
        <v>852</v>
      </c>
      <c r="B390" s="5" t="str">
        <f ca="1">IFERROR(__xludf.DUMMYFUNCTION("AI(""Fill an appropriate value for this cell based on the table context"")"),"mentally or physically inactive; lethargic, sluggish, or dormant")</f>
        <v>mentally or physically inactive; lethargic, sluggish, or dormant</v>
      </c>
      <c r="C390" s="5" t="str">
        <f ca="1">IFERROR(__xludf.DUMMYFUNCTION("AI(""Fill an appropriate value for this cell based on the table context"")"),"sluggish, lethargic, inert")</f>
        <v>sluggish, lethargic, inert</v>
      </c>
      <c r="D390" s="5" t="str">
        <f ca="1">IFERROR(__xludf.DUMMYFUNCTION("AI(""Fill an appropriate value for this cell based on the table context"")"),"The torpid cat remained curled up on the couch all afternoon.")</f>
        <v>The torpid cat remained curled up on the couch all afternoon.</v>
      </c>
      <c r="E390" s="5"/>
      <c r="F390" s="5"/>
      <c r="G390" s="5"/>
      <c r="H390" s="5"/>
      <c r="I390" s="5"/>
      <c r="J390" s="5"/>
      <c r="K390" s="5"/>
      <c r="L390" s="5"/>
      <c r="M390" s="5"/>
      <c r="N390" s="5"/>
      <c r="O390" s="5"/>
      <c r="P390" s="5"/>
      <c r="Q390" s="5"/>
      <c r="R390" s="5"/>
      <c r="S390" s="5"/>
      <c r="T390" s="5"/>
      <c r="U390" s="5"/>
      <c r="V390" s="5"/>
      <c r="W390" s="5"/>
      <c r="X390" s="5"/>
      <c r="Y390" s="5"/>
      <c r="Z390" s="5"/>
    </row>
    <row r="391" spans="1:26" ht="12.5" x14ac:dyDescent="0.25">
      <c r="A391" s="5" t="s">
        <v>853</v>
      </c>
      <c r="B391" s="5" t="str">
        <f ca="1">IFERROR(__xludf.DUMMYFUNCTION("AI(""Fill an appropriate value for this cell based on the table context"")"),"eager or quick to argue or fight; aggressively defiant")</f>
        <v>eager or quick to argue or fight; aggressively defiant</v>
      </c>
      <c r="C391" s="5" t="str">
        <f ca="1">IFERROR(__xludf.DUMMYFUNCTION("AI(""Fill an appropriate value for this cell based on the table context"")"),"aggressive, belligerent, pugnacious")</f>
        <v>aggressive, belligerent, pugnacious</v>
      </c>
      <c r="D391" s="5" t="str">
        <f ca="1">IFERROR(__xludf.DUMMYFUNCTION("AI(""Fill an appropriate value for this cell based on the table context"")"),"His truculent behavior alienated his coworkers and quickly led to heated arguments.")</f>
        <v>His truculent behavior alienated his coworkers and quickly led to heated arguments.</v>
      </c>
      <c r="E391" s="5"/>
      <c r="F391" s="5"/>
      <c r="G391" s="5"/>
      <c r="H391" s="5"/>
      <c r="I391" s="5"/>
      <c r="J391" s="5"/>
      <c r="K391" s="5"/>
      <c r="L391" s="5"/>
      <c r="M391" s="5"/>
      <c r="N391" s="5"/>
      <c r="O391" s="5"/>
      <c r="P391" s="5"/>
      <c r="Q391" s="5"/>
      <c r="R391" s="5"/>
      <c r="S391" s="5"/>
      <c r="T391" s="5"/>
      <c r="U391" s="5"/>
      <c r="V391" s="5"/>
      <c r="W391" s="5"/>
      <c r="X391" s="5"/>
      <c r="Y391" s="5"/>
      <c r="Z391" s="5"/>
    </row>
    <row r="392" spans="1:26" ht="12.5" x14ac:dyDescent="0.25">
      <c r="A392" s="5" t="s">
        <v>854</v>
      </c>
      <c r="B392" s="5" t="str">
        <f ca="1">IFERROR(__xludf.DUMMYFUNCTION("AI(""Fill an appropriate value for this cell based on the table context"")"),"demonstrating aggression and willingness to fight; eager to fight or quarrel")</f>
        <v>demonstrating aggression and willingness to fight; eager to fight or quarrel</v>
      </c>
      <c r="C392" s="5" t="str">
        <f ca="1">IFERROR(__xludf.DUMMYFUNCTION("AI(""Fill an appropriate value for this cell based on the table context"")"),"belligerent, pugnacious, warlike")</f>
        <v>belligerent, pugnacious, warlike</v>
      </c>
      <c r="D392" s="5" t="str">
        <f ca="1">IFERROR(__xludf.DUMMYFUNCTION("AI(""Fill an appropriate value for this cell based on the table context"")"),"The bellicose general refused to negotiate and insisted on launching an immediate attack.")</f>
        <v>The bellicose general refused to negotiate and insisted on launching an immediate attack.</v>
      </c>
      <c r="E392" s="5"/>
      <c r="F392" s="5"/>
      <c r="G392" s="5"/>
      <c r="H392" s="5"/>
      <c r="I392" s="5"/>
      <c r="J392" s="5"/>
      <c r="K392" s="5"/>
      <c r="L392" s="5"/>
      <c r="M392" s="5"/>
      <c r="N392" s="5"/>
      <c r="O392" s="5"/>
      <c r="P392" s="5"/>
      <c r="Q392" s="5"/>
      <c r="R392" s="5"/>
      <c r="S392" s="5"/>
      <c r="T392" s="5"/>
      <c r="U392" s="5"/>
      <c r="V392" s="5"/>
      <c r="W392" s="5"/>
      <c r="X392" s="5"/>
      <c r="Y392" s="5"/>
      <c r="Z392" s="5"/>
    </row>
    <row r="393" spans="1:26" ht="12.5" x14ac:dyDescent="0.25">
      <c r="A393" s="5" t="s">
        <v>855</v>
      </c>
      <c r="B393" s="5" t="str">
        <f ca="1">IFERROR(__xludf.DUMMYFUNCTION("AI(""Fill an appropriate value for this cell based on the table context"")"),"noisy and difficult to control")</f>
        <v>noisy and difficult to control</v>
      </c>
      <c r="C393" s="5" t="str">
        <f ca="1">IFERROR(__xludf.DUMMYFUNCTION("AI(""Fill an appropriate value for this cell based on the table context"")"),"unruly, disorderly, boisterous")</f>
        <v>unruly, disorderly, boisterous</v>
      </c>
      <c r="D393" s="5" t="str">
        <f ca="1">IFERROR(__xludf.DUMMYFUNCTION("AI(""Fill an appropriate value for this cell based on the table context"")"),"The obstreperous crowd refused to quiet down despite the speaker's repeated requests.")</f>
        <v>The obstreperous crowd refused to quiet down despite the speaker's repeated requests.</v>
      </c>
      <c r="E393" s="5"/>
      <c r="F393" s="5"/>
      <c r="G393" s="5"/>
      <c r="H393" s="5"/>
      <c r="I393" s="5"/>
      <c r="J393" s="5"/>
      <c r="K393" s="5"/>
      <c r="L393" s="5"/>
      <c r="M393" s="5"/>
      <c r="N393" s="5"/>
      <c r="O393" s="5"/>
      <c r="P393" s="5"/>
      <c r="Q393" s="5"/>
      <c r="R393" s="5"/>
      <c r="S393" s="5"/>
      <c r="T393" s="5"/>
      <c r="U393" s="5"/>
      <c r="V393" s="5"/>
      <c r="W393" s="5"/>
      <c r="X393" s="5"/>
      <c r="Y393" s="5"/>
      <c r="Z393" s="5"/>
    </row>
    <row r="394" spans="1:26" ht="12.5" x14ac:dyDescent="0.25">
      <c r="A394" s="5" t="s">
        <v>856</v>
      </c>
      <c r="B394" s="5" t="str">
        <f ca="1">IFERROR(__xludf.DUMMYFUNCTION("AI(""Fill an appropriate value for this cell based on the table context"")"),"causing contraction of skin cells or tissues; sharp, severe, or biting in manner")</f>
        <v>causing contraction of skin cells or tissues; sharp, severe, or biting in manner</v>
      </c>
      <c r="C394" s="5" t="str">
        <f ca="1">IFERROR(__xludf.DUMMYFUNCTION("AI(""Fill an appropriate value for this cell based on the table context"")"),"austere, severe, caustic")</f>
        <v>austere, severe, caustic</v>
      </c>
      <c r="D394" s="5" t="str">
        <f ca="1">IFERROR(__xludf.DUMMYFUNCTION("AI(""Fill an appropriate value for this cell based on the table context"")"),"She applied an astringent lotion to cleanse her face and tighten her pores.")</f>
        <v>She applied an astringent lotion to cleanse her face and tighten her pores.</v>
      </c>
      <c r="E394" s="5"/>
      <c r="F394" s="5"/>
      <c r="G394" s="5"/>
      <c r="H394" s="5"/>
      <c r="I394" s="5"/>
      <c r="J394" s="5"/>
      <c r="K394" s="5"/>
      <c r="L394" s="5"/>
      <c r="M394" s="5"/>
      <c r="N394" s="5"/>
      <c r="O394" s="5"/>
      <c r="P394" s="5"/>
      <c r="Q394" s="5"/>
      <c r="R394" s="5"/>
      <c r="S394" s="5"/>
      <c r="T394" s="5"/>
      <c r="U394" s="5"/>
      <c r="V394" s="5"/>
      <c r="W394" s="5"/>
      <c r="X394" s="5"/>
      <c r="Y394" s="5"/>
      <c r="Z394" s="5"/>
    </row>
    <row r="395" spans="1:26" ht="12.5" x14ac:dyDescent="0.25">
      <c r="A395" s="5" t="s">
        <v>857</v>
      </c>
      <c r="B395" s="5" t="str">
        <f ca="1">IFERROR(__xludf.DUMMYFUNCTION("AI(""Fill an appropriate value for this cell based on the table context"")"),"angry and bitter in temper or tone")</f>
        <v>angry and bitter in temper or tone</v>
      </c>
      <c r="C395" s="5" t="str">
        <f ca="1">IFERROR(__xludf.DUMMYFUNCTION("AI(""Fill an appropriate value for this cell based on the table context"")"),"bitter, caustic, rancorous")</f>
        <v>bitter, caustic, rancorous</v>
      </c>
      <c r="D395" s="5" t="str">
        <f ca="1">IFERROR(__xludf.DUMMYFUNCTION("AI(""Fill an appropriate value for this cell based on the table context"")"),"Their marriage ended eight years ago in an acrimonious divorce.")</f>
        <v>Their marriage ended eight years ago in an acrimonious divorce.</v>
      </c>
      <c r="E395" s="5"/>
      <c r="F395" s="5"/>
      <c r="G395" s="5"/>
      <c r="H395" s="5"/>
      <c r="I395" s="5"/>
      <c r="J395" s="5"/>
      <c r="K395" s="5"/>
      <c r="L395" s="5"/>
      <c r="M395" s="5"/>
      <c r="N395" s="5"/>
      <c r="O395" s="5"/>
      <c r="P395" s="5"/>
      <c r="Q395" s="5"/>
      <c r="R395" s="5"/>
      <c r="S395" s="5"/>
      <c r="T395" s="5"/>
      <c r="U395" s="5"/>
      <c r="V395" s="5"/>
      <c r="W395" s="5"/>
      <c r="X395" s="5"/>
      <c r="Y395" s="5"/>
      <c r="Z395" s="5"/>
    </row>
    <row r="396" spans="1:26" ht="12.5" x14ac:dyDescent="0.25">
      <c r="A396" s="5" t="s">
        <v>858</v>
      </c>
      <c r="B396" s="5" t="str">
        <f ca="1">IFERROR(__xludf.DUMMYFUNCTION("AI(""Fill an appropriate value for this cell based on the table context"")"),"doing or producing good; performing acts of kindness or charity")</f>
        <v>doing or producing good; performing acts of kindness or charity</v>
      </c>
      <c r="C396" s="5" t="str">
        <f ca="1">IFERROR(__xludf.DUMMYFUNCTION("AI(""Fill an appropriate value for this cell based on the table context"")"),"benevolent, charitable, philanthropic")</f>
        <v>benevolent, charitable, philanthropic</v>
      </c>
      <c r="D396" s="5" t="str">
        <f ca="1">IFERROR(__xludf.DUMMYFUNCTION("AI(""Fill an appropriate value for this cell based on the table context"")"),"The beneficent donor contributed millions of dollars to build a new children's hospital.")</f>
        <v>The beneficent donor contributed millions of dollars to build a new children's hospital.</v>
      </c>
      <c r="E396" s="5"/>
      <c r="F396" s="5"/>
      <c r="G396" s="5"/>
      <c r="H396" s="5"/>
      <c r="I396" s="5"/>
      <c r="J396" s="5"/>
      <c r="K396" s="5"/>
      <c r="L396" s="5"/>
      <c r="M396" s="5"/>
      <c r="N396" s="5"/>
      <c r="O396" s="5"/>
      <c r="P396" s="5"/>
      <c r="Q396" s="5"/>
      <c r="R396" s="5"/>
      <c r="S396" s="5"/>
      <c r="T396" s="5"/>
      <c r="U396" s="5"/>
      <c r="V396" s="5"/>
      <c r="W396" s="5"/>
      <c r="X396" s="5"/>
      <c r="Y396" s="5"/>
      <c r="Z396" s="5"/>
    </row>
    <row r="397" spans="1:26" ht="25" x14ac:dyDescent="0.25">
      <c r="A397" s="5" t="s">
        <v>859</v>
      </c>
      <c r="B397" s="5" t="str">
        <f ca="1">IFERROR(__xludf.DUMMYFUNCTION("AI(""Fill an appropriate value for this cell based on the table context"")"),"having or showing shrewdness and good judgment, especially in money or business matters")</f>
        <v>having or showing shrewdness and good judgment, especially in money or business matters</v>
      </c>
      <c r="C397" s="5" t="str">
        <f ca="1">IFERROR(__xludf.DUMMYFUNCTION("AI(""Fill an appropriate value for this cell based on the table context"")"),"shrewd, astute, prudent")</f>
        <v>shrewd, astute, prudent</v>
      </c>
      <c r="D397" s="5" t="str">
        <f ca="1">IFERROR(__xludf.DUMMYFUNCTION("AI(""Fill an appropriate value for this cell based on the table context"")"),"The canny investor made a fortune by buying stocks during the market downturn.")</f>
        <v>The canny investor made a fortune by buying stocks during the market downturn.</v>
      </c>
      <c r="E397" s="5"/>
      <c r="F397" s="5"/>
      <c r="G397" s="5"/>
      <c r="H397" s="5"/>
      <c r="I397" s="5"/>
      <c r="J397" s="5"/>
      <c r="K397" s="5"/>
      <c r="L397" s="5"/>
      <c r="M397" s="5"/>
      <c r="N397" s="5"/>
      <c r="O397" s="5"/>
      <c r="P397" s="5"/>
      <c r="Q397" s="5"/>
      <c r="R397" s="5"/>
      <c r="S397" s="5"/>
      <c r="T397" s="5"/>
      <c r="U397" s="5"/>
      <c r="V397" s="5"/>
      <c r="W397" s="5"/>
      <c r="X397" s="5"/>
      <c r="Y397" s="5"/>
      <c r="Z397" s="5"/>
    </row>
    <row r="398" spans="1:26" ht="12.5" x14ac:dyDescent="0.25">
      <c r="A398" s="5" t="s">
        <v>860</v>
      </c>
      <c r="B398" s="5" t="str">
        <f ca="1">IFERROR(__xludf.DUMMYFUNCTION("AI(""Fill an appropriate value for this cell based on the table context"")"),"showing a lack of proper concern; offhand or dismissive")</f>
        <v>showing a lack of proper concern; offhand or dismissive</v>
      </c>
      <c r="C398" s="5" t="str">
        <f ca="1">IFERROR(__xludf.DUMMYFUNCTION("AI(""Fill an appropriate value for this cell based on the table context"")"),"offhand, haughty, disdainful")</f>
        <v>offhand, haughty, disdainful</v>
      </c>
      <c r="D398" s="5" t="str">
        <f ca="1">IFERROR(__xludf.DUMMYFUNCTION("AI(""Fill an appropriate value for this cell based on the table context"")"),"She had a cavalier attitude about spending money.")</f>
        <v>She had a cavalier attitude about spending money.</v>
      </c>
      <c r="E398" s="5"/>
      <c r="F398" s="5"/>
      <c r="G398" s="5"/>
      <c r="H398" s="5"/>
      <c r="I398" s="5"/>
      <c r="J398" s="5"/>
      <c r="K398" s="5"/>
      <c r="L398" s="5"/>
      <c r="M398" s="5"/>
      <c r="N398" s="5"/>
      <c r="O398" s="5"/>
      <c r="P398" s="5"/>
      <c r="Q398" s="5"/>
      <c r="R398" s="5"/>
      <c r="S398" s="5"/>
      <c r="T398" s="5"/>
      <c r="U398" s="5"/>
      <c r="V398" s="5"/>
      <c r="W398" s="5"/>
      <c r="X398" s="5"/>
      <c r="Y398" s="5"/>
      <c r="Z398" s="5"/>
    </row>
    <row r="399" spans="1:26" ht="12.5" x14ac:dyDescent="0.25">
      <c r="A399" s="5" t="s">
        <v>861</v>
      </c>
      <c r="B399" s="5" t="str">
        <f ca="1">IFERROR(__xludf.DUMMYFUNCTION("AI(""Fill an appropriate value for this cell based on the table context"")"),"paying a lot of money; financially rewarding or profitable")</f>
        <v>paying a lot of money; financially rewarding or profitable</v>
      </c>
      <c r="C399" s="5" t="str">
        <f ca="1">IFERROR(__xludf.DUMMYFUNCTION("AI(""Fill an appropriate value for this cell based on the table context"")"),"lucrative, profitable, rewarding")</f>
        <v>lucrative, profitable, rewarding</v>
      </c>
      <c r="D399" s="5" t="str">
        <f ca="1">IFERROR(__xludf.DUMMYFUNCTION("AI(""Fill an appropriate value for this cell based on the table context"")"),"Teaching proved to be a far more remunerative career than writing poetry.")</f>
        <v>Teaching proved to be a far more remunerative career than writing poetry.</v>
      </c>
      <c r="E399" s="5"/>
      <c r="F399" s="5"/>
      <c r="G399" s="5"/>
      <c r="H399" s="5"/>
      <c r="I399" s="5"/>
      <c r="J399" s="5"/>
      <c r="K399" s="5"/>
      <c r="L399" s="5"/>
      <c r="M399" s="5"/>
      <c r="N399" s="5"/>
      <c r="O399" s="5"/>
      <c r="P399" s="5"/>
      <c r="Q399" s="5"/>
      <c r="R399" s="5"/>
      <c r="S399" s="5"/>
      <c r="T399" s="5"/>
      <c r="U399" s="5"/>
      <c r="V399" s="5"/>
      <c r="W399" s="5"/>
      <c r="X399" s="5"/>
      <c r="Y399" s="5"/>
      <c r="Z399" s="5"/>
    </row>
    <row r="400" spans="1:26" ht="12.5" x14ac:dyDescent="0.25">
      <c r="A400" s="5" t="s">
        <v>862</v>
      </c>
      <c r="B400" s="5" t="str">
        <f ca="1">IFERROR(__xludf.DUMMYFUNCTION("AI(""Fill an appropriate value for this cell based on the table context"")"),"harsh criticism or public disgrace")</f>
        <v>harsh criticism or public disgrace</v>
      </c>
      <c r="C400" s="5" t="str">
        <f ca="1">IFERROR(__xludf.DUMMYFUNCTION("AI(""Fill an appropriate value for this cell based on the table context"")"),"disgrace, censure, vilification")</f>
        <v>disgrace, censure, vilification</v>
      </c>
      <c r="D400" s="5" t="str">
        <f ca="1">IFERROR(__xludf.DUMMYFUNCTION("AI(""Fill an appropriate value for this cell based on the table context"")"),"The company faced public opprobrium after the massive corruption scandal was exposed.")</f>
        <v>The company faced public opprobrium after the massive corruption scandal was exposed.</v>
      </c>
      <c r="E400" s="5"/>
      <c r="F400" s="5"/>
      <c r="G400" s="5"/>
      <c r="H400" s="5"/>
      <c r="I400" s="5"/>
      <c r="J400" s="5"/>
      <c r="K400" s="5"/>
      <c r="L400" s="5"/>
      <c r="M400" s="5"/>
      <c r="N400" s="5"/>
      <c r="O400" s="5"/>
      <c r="P400" s="5"/>
      <c r="Q400" s="5"/>
      <c r="R400" s="5"/>
      <c r="S400" s="5"/>
      <c r="T400" s="5"/>
      <c r="U400" s="5"/>
      <c r="V400" s="5"/>
      <c r="W400" s="5"/>
      <c r="X400" s="5"/>
      <c r="Y400" s="5"/>
      <c r="Z400" s="5"/>
    </row>
    <row r="401" spans="1:26" ht="12.5" x14ac:dyDescent="0.25">
      <c r="A401" s="5" t="s">
        <v>863</v>
      </c>
      <c r="B401" s="5" t="str">
        <f ca="1">IFERROR(__xludf.DUMMYFUNCTION("AI(""Fill an appropriate value for this cell based on the table context"")"),"strong public criticism or blame")</f>
        <v>strong public criticism or blame</v>
      </c>
      <c r="C401" s="5" t="str">
        <f ca="1">IFERROR(__xludf.DUMMYFUNCTION("AI(""Fill an appropriate value for this cell based on the table context"")"),"abuse, vituperation, invective")</f>
        <v>abuse, vituperation, invective</v>
      </c>
      <c r="D401" s="5" t="str">
        <f ca="1">IFERROR(__xludf.DUMMYFUNCTION("AI(""Fill an appropriate value for this cell based on the table context"")"),"The politician faced public obloquy after the corruption scandal was exposed.")</f>
        <v>The politician faced public obloquy after the corruption scandal was exposed.</v>
      </c>
      <c r="E401" s="5"/>
      <c r="F401" s="5"/>
      <c r="G401" s="5"/>
      <c r="H401" s="5"/>
      <c r="I401" s="5"/>
      <c r="J401" s="5"/>
      <c r="K401" s="5"/>
      <c r="L401" s="5"/>
      <c r="M401" s="5"/>
      <c r="N401" s="5"/>
      <c r="O401" s="5"/>
      <c r="P401" s="5"/>
      <c r="Q401" s="5"/>
      <c r="R401" s="5"/>
      <c r="S401" s="5"/>
      <c r="T401" s="5"/>
      <c r="U401" s="5"/>
      <c r="V401" s="5"/>
      <c r="W401" s="5"/>
      <c r="X401" s="5"/>
      <c r="Y401" s="5"/>
      <c r="Z401" s="5"/>
    </row>
    <row r="402" spans="1:26" ht="12.5" x14ac:dyDescent="0.25">
      <c r="A402" s="5" t="s">
        <v>864</v>
      </c>
      <c r="B402" s="5" t="str">
        <f ca="1">IFERROR(__xludf.DUMMYFUNCTION("AI(""Fill an appropriate value for this cell based on the table context"")"),"extremely poor; unwilling to spend money, stingy")</f>
        <v>extremely poor; unwilling to spend money, stingy</v>
      </c>
      <c r="C402" s="5" t="str">
        <f ca="1">IFERROR(__xludf.DUMMYFUNCTION("AI(""Fill an appropriate value for this cell based on the table context"")"),"parsimonious, miserly, stingy")</f>
        <v>parsimonious, miserly, stingy</v>
      </c>
      <c r="D402" s="5" t="str">
        <f ca="1">IFERROR(__xludf.DUMMYFUNCTION("AI(""Fill an appropriate value for this cell based on the table context"")"),"The penurious old man refused to spend even a penny on basic necessities.")</f>
        <v>The penurious old man refused to spend even a penny on basic necessities.</v>
      </c>
      <c r="E402" s="5"/>
      <c r="F402" s="5"/>
      <c r="G402" s="5"/>
      <c r="H402" s="5"/>
      <c r="I402" s="5"/>
      <c r="J402" s="5"/>
      <c r="K402" s="5"/>
      <c r="L402" s="5"/>
      <c r="M402" s="5"/>
      <c r="N402" s="5"/>
      <c r="O402" s="5"/>
      <c r="P402" s="5"/>
      <c r="Q402" s="5"/>
      <c r="R402" s="5"/>
      <c r="S402" s="5"/>
      <c r="T402" s="5"/>
      <c r="U402" s="5"/>
      <c r="V402" s="5"/>
      <c r="W402" s="5"/>
      <c r="X402" s="5"/>
      <c r="Y402" s="5"/>
      <c r="Z402" s="5"/>
    </row>
    <row r="403" spans="1:26" ht="12.5" x14ac:dyDescent="0.25">
      <c r="A403" s="5" t="s">
        <v>865</v>
      </c>
      <c r="B403" s="5" t="str">
        <f ca="1">IFERROR(__xludf.DUMMYFUNCTION("AI(""Fill an appropriate value for this cell based on the table context"")"),"unwilling to spend money; extremely frugal or stingy")</f>
        <v>unwilling to spend money; extremely frugal or stingy</v>
      </c>
      <c r="C403" s="5" t="str">
        <f ca="1">IFERROR(__xludf.DUMMYFUNCTION("AI(""Fill an appropriate value for this cell based on the table context"")"),"miserly, stingy, frugal")</f>
        <v>miserly, stingy, frugal</v>
      </c>
      <c r="D403" s="5" t="str">
        <f ca="1">IFERROR(__xludf.DUMMYFUNCTION("AI(""Fill an appropriate value for this cell based on the table context"")"),"Despite his considerable wealth, the parsimonious old man refused to heat his house in the winter.")</f>
        <v>Despite his considerable wealth, the parsimonious old man refused to heat his house in the winter.</v>
      </c>
      <c r="E403" s="5"/>
      <c r="F403" s="5"/>
      <c r="G403" s="5"/>
      <c r="H403" s="5"/>
      <c r="I403" s="5"/>
      <c r="J403" s="5"/>
      <c r="K403" s="5"/>
      <c r="L403" s="5"/>
      <c r="M403" s="5"/>
      <c r="N403" s="5"/>
      <c r="O403" s="5"/>
      <c r="P403" s="5"/>
      <c r="Q403" s="5"/>
      <c r="R403" s="5"/>
      <c r="S403" s="5"/>
      <c r="T403" s="5"/>
      <c r="U403" s="5"/>
      <c r="V403" s="5"/>
      <c r="W403" s="5"/>
      <c r="X403" s="5"/>
      <c r="Y403" s="5"/>
      <c r="Z403" s="5"/>
    </row>
    <row r="404" spans="1:26" ht="12.5" x14ac:dyDescent="0.25">
      <c r="A404" s="5" t="s">
        <v>866</v>
      </c>
      <c r="B404" s="5" t="str">
        <f ca="1">IFERROR(__xludf.DUMMYFUNCTION("AI(""Fill an appropriate value for this cell based on the table context"")"),"holding back, limiting, or being frugal or stingy with money, effort, or resources")</f>
        <v>holding back, limiting, or being frugal or stingy with money, effort, or resources</v>
      </c>
      <c r="C404" s="5" t="str">
        <f ca="1">IFERROR(__xludf.DUMMYFUNCTION("AI(""Fill an appropriate value for this cell based on the table context"")"),"skimping, sparing, parsimonious")</f>
        <v>skimping, sparing, parsimonious</v>
      </c>
      <c r="D404" s="5" t="str">
        <f ca="1">IFERROR(__xludf.DUMMYFUNCTION("AI(""Fill an appropriate value for this cell based on the table context"")"),"The hosts were not stinting with their hospitality, offering their guests second helpings of every dish.")</f>
        <v>The hosts were not stinting with their hospitality, offering their guests second helpings of every dish.</v>
      </c>
      <c r="E404" s="5"/>
      <c r="F404" s="5"/>
      <c r="G404" s="5"/>
      <c r="H404" s="5"/>
      <c r="I404" s="5"/>
      <c r="J404" s="5"/>
      <c r="K404" s="5"/>
      <c r="L404" s="5"/>
      <c r="M404" s="5"/>
      <c r="N404" s="5"/>
      <c r="O404" s="5"/>
      <c r="P404" s="5"/>
      <c r="Q404" s="5"/>
      <c r="R404" s="5"/>
      <c r="S404" s="5"/>
      <c r="T404" s="5"/>
      <c r="U404" s="5"/>
      <c r="V404" s="5"/>
      <c r="W404" s="5"/>
      <c r="X404" s="5"/>
      <c r="Y404" s="5"/>
      <c r="Z404" s="5"/>
    </row>
    <row r="405" spans="1:26" ht="12.5" x14ac:dyDescent="0.25">
      <c r="A405" s="5" t="s">
        <v>867</v>
      </c>
      <c r="B405" s="5" t="str">
        <f ca="1">IFERROR(__xludf.DUMMYFUNCTION("AI(""Fill an appropriate value for this cell based on the table context"")"),"causing offense or insult; insulting")</f>
        <v>causing offense or insult; insulting</v>
      </c>
      <c r="C405" s="5" t="str">
        <f ca="1">IFERROR(__xludf.DUMMYFUNCTION("AI(""Fill an appropriate value for this cell based on the table context"")"),"insulting, offensive, offending")</f>
        <v>insulting, offensive, offending</v>
      </c>
      <c r="D405" s="5" t="str">
        <f ca="1">IFERROR(__xludf.DUMMYFUNCTION("AI(""Fill an appropriate value for this cell based on the table context"")"),"His rude behavior was affronting to everyone in the room.")</f>
        <v>His rude behavior was affronting to everyone in the room.</v>
      </c>
      <c r="E405" s="5"/>
      <c r="F405" s="5"/>
      <c r="G405" s="5"/>
      <c r="H405" s="5"/>
      <c r="I405" s="5"/>
      <c r="J405" s="5"/>
      <c r="K405" s="5"/>
      <c r="L405" s="5"/>
      <c r="M405" s="5"/>
      <c r="N405" s="5"/>
      <c r="O405" s="5"/>
      <c r="P405" s="5"/>
      <c r="Q405" s="5"/>
      <c r="R405" s="5"/>
      <c r="S405" s="5"/>
      <c r="T405" s="5"/>
      <c r="U405" s="5"/>
      <c r="V405" s="5"/>
      <c r="W405" s="5"/>
      <c r="X405" s="5"/>
      <c r="Y405" s="5"/>
      <c r="Z405" s="5"/>
    </row>
    <row r="406" spans="1:26" ht="12.5" x14ac:dyDescent="0.25">
      <c r="A406" s="5" t="s">
        <v>868</v>
      </c>
      <c r="B406" s="5" t="str">
        <f ca="1">IFERROR(__xludf.DUMMYFUNCTION("AI(""Fill an appropriate value for this cell based on the table context"")"),"causing irritation, annoyance, or frustration")</f>
        <v>causing irritation, annoyance, or frustration</v>
      </c>
      <c r="C406" s="5" t="str">
        <f ca="1">IFERROR(__xludf.DUMMYFUNCTION("AI(""Fill an appropriate value for this cell based on the table context"")"),"annoying, exasperating, vexing")</f>
        <v>annoying, exasperating, vexing</v>
      </c>
      <c r="D406" s="5" t="str">
        <f ca="1">IFERROR(__xludf.DUMMYFUNCTION("AI(""Fill an appropriate value for this cell based on the table context"")"),"He found it galling to have to apologize for a mistake he did not make.")</f>
        <v>He found it galling to have to apologize for a mistake he did not make.</v>
      </c>
      <c r="E406" s="5"/>
      <c r="F406" s="5"/>
      <c r="G406" s="5"/>
      <c r="H406" s="5"/>
      <c r="I406" s="5"/>
      <c r="J406" s="5"/>
      <c r="K406" s="5"/>
      <c r="L406" s="5"/>
      <c r="M406" s="5"/>
      <c r="N406" s="5"/>
      <c r="O406" s="5"/>
      <c r="P406" s="5"/>
      <c r="Q406" s="5"/>
      <c r="R406" s="5"/>
      <c r="S406" s="5"/>
      <c r="T406" s="5"/>
      <c r="U406" s="5"/>
      <c r="V406" s="5"/>
      <c r="W406" s="5"/>
      <c r="X406" s="5"/>
      <c r="Y406" s="5"/>
      <c r="Z406" s="5"/>
    </row>
    <row r="407" spans="1:26" ht="12.5" x14ac:dyDescent="0.25">
      <c r="A407" s="5" t="s">
        <v>869</v>
      </c>
      <c r="B407" s="5" t="str">
        <f ca="1">IFERROR(__xludf.DUMMYFUNCTION("AI(""Fill an appropriate value for this cell based on the table context"")"),"agree to give up or stop doing something; reject or renounce under oath")</f>
        <v>agree to give up or stop doing something; reject or renounce under oath</v>
      </c>
      <c r="C407" s="5" t="str">
        <f ca="1">IFERROR(__xludf.DUMMYFUNCTION("AI(""Fill an appropriate value for this cell based on the table context"")"),"renounce, recant, abjure")</f>
        <v>renounce, recant, abjure</v>
      </c>
      <c r="D407" s="5" t="str">
        <f ca="1">IFERROR(__xludf.DUMMYFUNCTION("AI(""Fill an appropriate value for this cell based on the table context"")"),"As part of his New Year's resolution, my father decided to forswear alcohol.")</f>
        <v>As part of his New Year's resolution, my father decided to forswear alcohol.</v>
      </c>
      <c r="E407" s="5"/>
      <c r="F407" s="5"/>
      <c r="G407" s="5"/>
      <c r="H407" s="5"/>
      <c r="I407" s="5"/>
      <c r="J407" s="5"/>
      <c r="K407" s="5"/>
      <c r="L407" s="5"/>
      <c r="M407" s="5"/>
      <c r="N407" s="5"/>
      <c r="O407" s="5"/>
      <c r="P407" s="5"/>
      <c r="Q407" s="5"/>
      <c r="R407" s="5"/>
      <c r="S407" s="5"/>
      <c r="T407" s="5"/>
      <c r="U407" s="5"/>
      <c r="V407" s="5"/>
      <c r="W407" s="5"/>
      <c r="X407" s="5"/>
      <c r="Y407" s="5"/>
      <c r="Z407" s="5"/>
    </row>
    <row r="408" spans="1:26" ht="12.5" x14ac:dyDescent="0.25">
      <c r="A408" s="5" t="s">
        <v>870</v>
      </c>
      <c r="B408" s="5" t="str">
        <f ca="1">IFERROR(__xludf.DUMMYFUNCTION("AI(""Fill an appropriate value for this cell based on the table context"")"),"able to be defended or maintained against attack or objection")</f>
        <v>able to be defended or maintained against attack or objection</v>
      </c>
      <c r="C408" s="5" t="str">
        <f ca="1">IFERROR(__xludf.DUMMYFUNCTION("AI(""Fill an appropriate value for this cell based on the table context"")"),"defensible, justifiable, supportable")</f>
        <v>defensible, justifiable, supportable</v>
      </c>
      <c r="D408" s="5" t="str">
        <f ca="1">IFERROR(__xludf.DUMMYFUNCTION("AI(""Fill an appropriate value for this cell based on the table context"")"),"After years of research, the scientist was able to present a tenable theory to the journal.")</f>
        <v>After years of research, the scientist was able to present a tenable theory to the journal.</v>
      </c>
      <c r="E408" s="5"/>
      <c r="F408" s="5"/>
      <c r="G408" s="5"/>
      <c r="H408" s="5"/>
      <c r="I408" s="5"/>
      <c r="J408" s="5"/>
      <c r="K408" s="5"/>
      <c r="L408" s="5"/>
      <c r="M408" s="5"/>
      <c r="N408" s="5"/>
      <c r="O408" s="5"/>
      <c r="P408" s="5"/>
      <c r="Q408" s="5"/>
      <c r="R408" s="5"/>
      <c r="S408" s="5"/>
      <c r="T408" s="5"/>
      <c r="U408" s="5"/>
      <c r="V408" s="5"/>
      <c r="W408" s="5"/>
      <c r="X408" s="5"/>
      <c r="Y408" s="5"/>
      <c r="Z408" s="5"/>
    </row>
    <row r="409" spans="1:26" ht="25" x14ac:dyDescent="0.25">
      <c r="A409" s="5" t="s">
        <v>871</v>
      </c>
      <c r="B409" s="5" t="str">
        <f ca="1">IFERROR(__xludf.DUMMYFUNCTION("AI(""Fill an appropriate value for this cell based on the table context"")"),"a small fault or mistake, or a minor offense")</f>
        <v>a small fault or mistake, or a minor offense</v>
      </c>
      <c r="C409" s="5" t="str">
        <f ca="1">IFERROR(__xludf.DUMMYFUNCTION("AI(""Fill an appropriate value for this cell based on the table context"")"),"misdeed, indiscretion, lapse, misdemeanor")</f>
        <v>misdeed, indiscretion, lapse, misdemeanor</v>
      </c>
      <c r="D409" s="5" t="str">
        <f ca="1">IFERROR(__xludf.DUMMYFUNCTION("AI(""Fill an appropriate value for this cell based on the table context"")"),"He was willing to forgive her minor peccadillo, knowing it was an honest mistake.")</f>
        <v>He was willing to forgive her minor peccadillo, knowing it was an honest mistake.</v>
      </c>
      <c r="E409" s="5"/>
      <c r="F409" s="5"/>
      <c r="G409" s="5"/>
      <c r="H409" s="5"/>
      <c r="I409" s="5"/>
      <c r="J409" s="5"/>
      <c r="K409" s="5"/>
      <c r="L409" s="5"/>
      <c r="M409" s="5"/>
      <c r="N409" s="5"/>
      <c r="O409" s="5"/>
      <c r="P409" s="5"/>
      <c r="Q409" s="5"/>
      <c r="R409" s="5"/>
      <c r="S409" s="5"/>
      <c r="T409" s="5"/>
      <c r="U409" s="5"/>
      <c r="V409" s="5"/>
      <c r="W409" s="5"/>
      <c r="X409" s="5"/>
      <c r="Y409" s="5"/>
      <c r="Z409" s="5"/>
    </row>
    <row r="410" spans="1:26" ht="12.5" x14ac:dyDescent="0.25">
      <c r="A410" s="5" t="s">
        <v>872</v>
      </c>
      <c r="B410" s="5" t="str">
        <f ca="1">IFERROR(__xludf.DUMMYFUNCTION("AI(""Fill an appropriate value for this cell based on the table context"")"),"the appearance of being true or real")</f>
        <v>the appearance of being true or real</v>
      </c>
      <c r="C410" s="5" t="str">
        <f ca="1">IFERROR(__xludf.DUMMYFUNCTION("AI(""Fill an appropriate value for this cell based on the table context"")"),"realism, authenticity, plausibility")</f>
        <v>realism, authenticity, plausibility</v>
      </c>
      <c r="D410" s="5" t="str">
        <f ca="1">IFERROR(__xludf.DUMMYFUNCTION("AI(""Fill an appropriate value for this cell based on the table context"")"),"She included photographs in the book to lend verisimilitude to the story.")</f>
        <v>She included photographs in the book to lend verisimilitude to the story.</v>
      </c>
      <c r="E410" s="5"/>
      <c r="F410" s="5"/>
      <c r="G410" s="5"/>
      <c r="H410" s="5"/>
      <c r="I410" s="5"/>
      <c r="J410" s="5"/>
      <c r="K410" s="5"/>
      <c r="L410" s="5"/>
      <c r="M410" s="5"/>
      <c r="N410" s="5"/>
      <c r="O410" s="5"/>
      <c r="P410" s="5"/>
      <c r="Q410" s="5"/>
      <c r="R410" s="5"/>
      <c r="S410" s="5"/>
      <c r="T410" s="5"/>
      <c r="U410" s="5"/>
      <c r="V410" s="5"/>
      <c r="W410" s="5"/>
      <c r="X410" s="5"/>
      <c r="Y410" s="5"/>
      <c r="Z410" s="5"/>
    </row>
    <row r="411" spans="1:26" ht="12.5" x14ac:dyDescent="0.25">
      <c r="A411" s="5" t="s">
        <v>873</v>
      </c>
      <c r="B411" s="5" t="str">
        <f ca="1">IFERROR(__xludf.DUMMYFUNCTION("AI(""Fill an appropriate value for this cell based on the table context"")"),"spoil or impair the quality or efficiency of something; make legally invalid")</f>
        <v>spoil or impair the quality or efficiency of something; make legally invalid</v>
      </c>
      <c r="C411" s="5" t="str">
        <f ca="1">IFERROR(__xludf.DUMMYFUNCTION("AI(""Fill an appropriate value for this cell based on the table context"")"),"impair, corrupt, debase")</f>
        <v>impair, corrupt, debase</v>
      </c>
      <c r="D411" s="5" t="str">
        <f ca="1">IFERROR(__xludf.DUMMYFUNCTION("AI(""Fill an appropriate value for this cell based on the table context"")"),"The fraud allegations could vitiate the contract.")</f>
        <v>The fraud allegations could vitiate the contract.</v>
      </c>
      <c r="E411" s="5"/>
      <c r="F411" s="5"/>
      <c r="G411" s="5"/>
      <c r="H411" s="5"/>
      <c r="I411" s="5"/>
      <c r="J411" s="5"/>
      <c r="K411" s="5"/>
      <c r="L411" s="5"/>
      <c r="M411" s="5"/>
      <c r="N411" s="5"/>
      <c r="O411" s="5"/>
      <c r="P411" s="5"/>
      <c r="Q411" s="5"/>
      <c r="R411" s="5"/>
      <c r="S411" s="5"/>
      <c r="T411" s="5"/>
      <c r="U411" s="5"/>
      <c r="V411" s="5"/>
      <c r="W411" s="5"/>
      <c r="X411" s="5"/>
      <c r="Y411" s="5"/>
      <c r="Z411" s="5"/>
    </row>
    <row r="412" spans="1:26" ht="12.5" x14ac:dyDescent="0.25">
      <c r="A412" s="5" t="s">
        <v>874</v>
      </c>
      <c r="B412" s="5" t="str">
        <f ca="1">IFERROR(__xludf.DUMMYFUNCTION("AI(""Fill an appropriate value for this cell based on the table context"")"),"well-chosen; suited to the circumstances; apt or appropriate")</f>
        <v>well-chosen; suited to the circumstances; apt or appropriate</v>
      </c>
      <c r="C412" s="5" t="str">
        <f ca="1">IFERROR(__xludf.DUMMYFUNCTION("AI(""Fill an appropriate value for this cell based on the table context"")"),"apt, fitting, appropriate")</f>
        <v>apt, fitting, appropriate</v>
      </c>
      <c r="D412" s="5" t="str">
        <f ca="1">IFERROR(__xludf.DUMMYFUNCTION("AI(""Fill an appropriate value for this cell based on the table context"")"),"Her felicitous choice of words transformed the awkward situation into a pleasant conversation.")</f>
        <v>Her felicitous choice of words transformed the awkward situation into a pleasant conversation.</v>
      </c>
      <c r="E412" s="5"/>
      <c r="F412" s="5"/>
      <c r="G412" s="5"/>
      <c r="H412" s="5"/>
      <c r="I412" s="5"/>
      <c r="J412" s="5"/>
      <c r="K412" s="5"/>
      <c r="L412" s="5"/>
      <c r="M412" s="5"/>
      <c r="N412" s="5"/>
      <c r="O412" s="5"/>
      <c r="P412" s="5"/>
      <c r="Q412" s="5"/>
      <c r="R412" s="5"/>
      <c r="S412" s="5"/>
      <c r="T412" s="5"/>
      <c r="U412" s="5"/>
      <c r="V412" s="5"/>
      <c r="W412" s="5"/>
      <c r="X412" s="5"/>
      <c r="Y412" s="5"/>
      <c r="Z412" s="5"/>
    </row>
    <row r="413" spans="1:26" ht="12.5" x14ac:dyDescent="0.25">
      <c r="A413" s="5" t="s">
        <v>875</v>
      </c>
      <c r="B413" s="5" t="str">
        <f ca="1">IFERROR(__xludf.DUMMYFUNCTION("AI(""Fill an appropriate value for this cell based on the table context"")"),"refuse to accept or obey something; reject or disown")</f>
        <v>refuse to accept or obey something; reject or disown</v>
      </c>
      <c r="C413" s="5" t="str">
        <f ca="1">IFERROR(__xludf.DUMMYFUNCTION("AI(""Fill an appropriate value for this cell based on the table context"")"),"reject, renounce, disown")</f>
        <v>reject, renounce, disown</v>
      </c>
      <c r="D413" s="5" t="str">
        <f ca="1">IFERROR(__xludf.DUMMYFUNCTION("AI(""Fill an appropriate value for this cell based on the table context"")"),"She decided to repudiate the false accusations against her.")</f>
        <v>She decided to repudiate the false accusations against her.</v>
      </c>
      <c r="E413" s="5"/>
      <c r="F413" s="5"/>
      <c r="G413" s="5"/>
      <c r="H413" s="5"/>
      <c r="I413" s="5"/>
      <c r="J413" s="5"/>
      <c r="K413" s="5"/>
      <c r="L413" s="5"/>
      <c r="M413" s="5"/>
      <c r="N413" s="5"/>
      <c r="O413" s="5"/>
      <c r="P413" s="5"/>
      <c r="Q413" s="5"/>
      <c r="R413" s="5"/>
      <c r="S413" s="5"/>
      <c r="T413" s="5"/>
      <c r="U413" s="5"/>
      <c r="V413" s="5"/>
      <c r="W413" s="5"/>
      <c r="X413" s="5"/>
      <c r="Y413" s="5"/>
      <c r="Z413" s="5"/>
    </row>
    <row r="414" spans="1:26" ht="12.5" x14ac:dyDescent="0.25">
      <c r="A414" s="5" t="s">
        <v>876</v>
      </c>
      <c r="B414" s="5" t="str">
        <f ca="1">IFERROR(__xludf.DUMMYFUNCTION("AI(""Fill an appropriate value for this cell based on the table context"")"),"lacking any obvious order or plan; random")</f>
        <v>lacking any obvious order or plan; random</v>
      </c>
      <c r="C414" s="5" t="str">
        <f ca="1">IFERROR(__xludf.DUMMYFUNCTION("AI(""Fill an appropriate value for this cell based on the table context"")"),"random, erratic, desultory")</f>
        <v>random, erratic, desultory</v>
      </c>
      <c r="D414" s="5" t="str">
        <f ca="1">IFERROR(__xludf.DUMMYFUNCTION("AI(""Fill an appropriate value for this cell based on the table context"")"),"The books were stacked in a haphazard pile on the floor.")</f>
        <v>The books were stacked in a haphazard pile on the floor.</v>
      </c>
      <c r="E414" s="5"/>
      <c r="F414" s="5"/>
      <c r="G414" s="5"/>
      <c r="H414" s="5"/>
      <c r="I414" s="5"/>
      <c r="J414" s="5"/>
      <c r="K414" s="5"/>
      <c r="L414" s="5"/>
      <c r="M414" s="5"/>
      <c r="N414" s="5"/>
      <c r="O414" s="5"/>
      <c r="P414" s="5"/>
      <c r="Q414" s="5"/>
      <c r="R414" s="5"/>
      <c r="S414" s="5"/>
      <c r="T414" s="5"/>
      <c r="U414" s="5"/>
      <c r="V414" s="5"/>
      <c r="W414" s="5"/>
      <c r="X414" s="5"/>
      <c r="Y414" s="5"/>
      <c r="Z414" s="5"/>
    </row>
    <row r="415" spans="1:26" ht="25" x14ac:dyDescent="0.25">
      <c r="A415" s="5" t="s">
        <v>877</v>
      </c>
      <c r="B415" s="5" t="str">
        <f ca="1">IFERROR(__xludf.DUMMYFUNCTION("AI(""Fill an appropriate value for this cell based on the table context"")"),"the ability to make good judgments and quick decisions")</f>
        <v>the ability to make good judgments and quick decisions</v>
      </c>
      <c r="C415" s="5" t="str">
        <f ca="1">IFERROR(__xludf.DUMMYFUNCTION("AI(""Fill an appropriate value for this cell based on the table context"")"),"shrewdness, astuteness, discernment")</f>
        <v>shrewdness, astuteness, discernment</v>
      </c>
      <c r="D415" s="5" t="str">
        <f ca="1">IFERROR(__xludf.DUMMYFUNCTION("AI(""Fill an appropriate value for this cell based on the table context"")"),"Her business acumen helped the company navigate the financial crisis and double its profits.")</f>
        <v>Her business acumen helped the company navigate the financial crisis and double its profits.</v>
      </c>
      <c r="E415" s="5"/>
      <c r="F415" s="5"/>
      <c r="G415" s="5"/>
      <c r="H415" s="5"/>
      <c r="I415" s="5"/>
      <c r="J415" s="5"/>
      <c r="K415" s="5"/>
      <c r="L415" s="5"/>
      <c r="M415" s="5"/>
      <c r="N415" s="5"/>
      <c r="O415" s="5"/>
      <c r="P415" s="5"/>
      <c r="Q415" s="5"/>
      <c r="R415" s="5"/>
      <c r="S415" s="5"/>
      <c r="T415" s="5"/>
      <c r="U415" s="5"/>
      <c r="V415" s="5"/>
      <c r="W415" s="5"/>
      <c r="X415" s="5"/>
      <c r="Y415" s="5"/>
      <c r="Z415" s="5"/>
    </row>
    <row r="416" spans="1:26" ht="12.5" x14ac:dyDescent="0.25">
      <c r="A416" s="5" t="s">
        <v>878</v>
      </c>
      <c r="B416" s="5" t="str">
        <f ca="1">IFERROR(__xludf.DUMMYFUNCTION("AI(""Fill an appropriate value for this cell based on the table context"")"),"a person whose interest in a subject or art is superficial or non-professional; a dabbler")</f>
        <v>a person whose interest in a subject or art is superficial or non-professional; a dabbler</v>
      </c>
      <c r="C416" s="5" t="str">
        <f ca="1">IFERROR(__xludf.DUMMYFUNCTION("AI(""Fill an appropriate value for this cell based on the table context"")"),"dabbler, amateur, trifler")</f>
        <v>dabbler, amateur, trifler</v>
      </c>
      <c r="D416" s="5" t="str">
        <f ca="1">IFERROR(__xludf.DUMMYFUNCTION("AI(""Fill an appropriate value for this cell based on the table context"")"),"The critics dismissed him as a mere dilettante who had no real commitment to the art form.")</f>
        <v>The critics dismissed him as a mere dilettante who had no real commitment to the art form.</v>
      </c>
      <c r="E416" s="5"/>
      <c r="F416" s="5"/>
      <c r="G416" s="5"/>
      <c r="H416" s="5"/>
      <c r="I416" s="5"/>
      <c r="J416" s="5"/>
      <c r="K416" s="5"/>
      <c r="L416" s="5"/>
      <c r="M416" s="5"/>
      <c r="N416" s="5"/>
      <c r="O416" s="5"/>
      <c r="P416" s="5"/>
      <c r="Q416" s="5"/>
      <c r="R416" s="5"/>
      <c r="S416" s="5"/>
      <c r="T416" s="5"/>
      <c r="U416" s="5"/>
      <c r="V416" s="5"/>
      <c r="W416" s="5"/>
      <c r="X416" s="5"/>
      <c r="Y416" s="5"/>
      <c r="Z416" s="5"/>
    </row>
    <row r="417" spans="1:26" ht="12.5" x14ac:dyDescent="0.25">
      <c r="A417" s="5" t="s">
        <v>879</v>
      </c>
      <c r="B417" s="5" t="str">
        <f ca="1">IFERROR(__xludf.DUMMYFUNCTION("AI(""Fill an appropriate value for this cell based on the table context"")"),"great warmth of feeling, passion, or enthusiasm")</f>
        <v>great warmth of feeling, passion, or enthusiasm</v>
      </c>
      <c r="C417" s="5" t="str">
        <f ca="1">IFERROR(__xludf.DUMMYFUNCTION("AI(""Fill an appropriate value for this cell based on the table context"")"),"passion, fervor, zeal")</f>
        <v>passion, fervor, zeal</v>
      </c>
      <c r="D417" s="5" t="str">
        <f ca="1">IFERROR(__xludf.DUMMYFUNCTION("AI(""Fill an appropriate value for this cell based on the table context"")"),"She spoke with great ardor about her dedication to environmental conservation.")</f>
        <v>She spoke with great ardor about her dedication to environmental conservation.</v>
      </c>
      <c r="E417" s="5"/>
      <c r="F417" s="5"/>
      <c r="G417" s="5"/>
      <c r="H417" s="5"/>
      <c r="I417" s="5"/>
      <c r="J417" s="5"/>
      <c r="K417" s="5"/>
      <c r="L417" s="5"/>
      <c r="M417" s="5"/>
      <c r="N417" s="5"/>
      <c r="O417" s="5"/>
      <c r="P417" s="5"/>
      <c r="Q417" s="5"/>
      <c r="R417" s="5"/>
      <c r="S417" s="5"/>
      <c r="T417" s="5"/>
      <c r="U417" s="5"/>
      <c r="V417" s="5"/>
      <c r="W417" s="5"/>
      <c r="X417" s="5"/>
      <c r="Y417" s="5"/>
      <c r="Z417" s="5"/>
    </row>
    <row r="418" spans="1:26" ht="12.5" x14ac:dyDescent="0.25">
      <c r="A418" s="5" t="s">
        <v>880</v>
      </c>
      <c r="B418" s="5" t="str">
        <f ca="1">IFERROR(__xludf.DUMMYFUNCTION("AI(""Fill an appropriate value for this cell based on the table context"")"),"(of rocks) formed through the cooling and solidification of magma or lava")</f>
        <v>(of rocks) formed through the cooling and solidification of magma or lava</v>
      </c>
      <c r="C418" s="5" t="str">
        <f ca="1">IFERROR(__xludf.DUMMYFUNCTION("AI(""Fill an appropriate value for this cell based on the table context"")"),"fiery, molten, pyrogenic")</f>
        <v>fiery, molten, pyrogenic</v>
      </c>
      <c r="D418" s="5" t="str">
        <f ca="1">IFERROR(__xludf.DUMMYFUNCTION("AI(""Fill an appropriate value for this cell based on the table context"")"),"Granite is a common type of igneous rock formed from cooled magma deep beneath the Earth's surface.")</f>
        <v>Granite is a common type of igneous rock formed from cooled magma deep beneath the Earth's surface.</v>
      </c>
      <c r="E418" s="5"/>
      <c r="F418" s="5"/>
      <c r="G418" s="5"/>
      <c r="H418" s="5"/>
      <c r="I418" s="5"/>
      <c r="J418" s="5"/>
      <c r="K418" s="5"/>
      <c r="L418" s="5"/>
      <c r="M418" s="5"/>
      <c r="N418" s="5"/>
      <c r="O418" s="5"/>
      <c r="P418" s="5"/>
      <c r="Q418" s="5"/>
      <c r="R418" s="5"/>
      <c r="S418" s="5"/>
      <c r="T418" s="5"/>
      <c r="U418" s="5"/>
      <c r="V418" s="5"/>
      <c r="W418" s="5"/>
      <c r="X418" s="5"/>
      <c r="Y418" s="5"/>
      <c r="Z418" s="5"/>
    </row>
    <row r="419" spans="1:26" ht="12.5" x14ac:dyDescent="0.25">
      <c r="A419" s="5" t="s">
        <v>881</v>
      </c>
      <c r="B419" s="5" t="str">
        <f ca="1">IFERROR(__xludf.DUMMYFUNCTION("AI(""Fill an appropriate value for this cell based on the table context"")"),"the study of the form and structure of organisms or words")</f>
        <v>the study of the form and structure of organisms or words</v>
      </c>
      <c r="C419" s="5" t="str">
        <f ca="1">IFERROR(__xludf.DUMMYFUNCTION("AI(""Fill an appropriate value for this cell based on the table context"")"),"structure, form, anatomy")</f>
        <v>structure, form, anatomy</v>
      </c>
      <c r="D419" s="5" t="str">
        <f ca="1">IFERROR(__xludf.DUMMYFUNCTION("AI(""Fill an appropriate value for this cell based on the table context"")"),"Linguists study the morphology of words to understand how they are formed from smaller units of meaning.")</f>
        <v>Linguists study the morphology of words to understand how they are formed from smaller units of meaning.</v>
      </c>
      <c r="E419" s="5"/>
      <c r="F419" s="5"/>
      <c r="G419" s="5"/>
      <c r="H419" s="5"/>
      <c r="I419" s="5"/>
      <c r="J419" s="5"/>
      <c r="K419" s="5"/>
      <c r="L419" s="5"/>
      <c r="M419" s="5"/>
      <c r="N419" s="5"/>
      <c r="O419" s="5"/>
      <c r="P419" s="5"/>
      <c r="Q419" s="5"/>
      <c r="R419" s="5"/>
      <c r="S419" s="5"/>
      <c r="T419" s="5"/>
      <c r="U419" s="5"/>
      <c r="V419" s="5"/>
      <c r="W419" s="5"/>
      <c r="X419" s="5"/>
      <c r="Y419" s="5"/>
      <c r="Z419" s="5"/>
    </row>
    <row r="420" spans="1:26" ht="12.5" x14ac:dyDescent="0.25">
      <c r="A420" s="5" t="s">
        <v>882</v>
      </c>
      <c r="B420" s="5" t="str">
        <f ca="1">IFERROR(__xludf.DUMMYFUNCTION("AI(""Fill an appropriate value for this cell based on the table context"")"),"the mistaken or humorous use of a word in place of a similar-sounding one")</f>
        <v>the mistaken or humorous use of a word in place of a similar-sounding one</v>
      </c>
      <c r="C420" s="5" t="str">
        <f ca="1">IFERROR(__xludf.DUMMYFUNCTION("AI(""Fill an appropriate value for this cell based on the table context"")"),"misuse, misapplication, solecism")</f>
        <v>misuse, misapplication, solecism</v>
      </c>
      <c r="D420" s="5" t="str">
        <f ca="1">IFERROR(__xludf.DUMMYFUNCTION("AI(""Fill an appropriate value for this cell based on the table context"")"),"Calling a whale a fish is a common misnomer, which is a frequently confused concept with a malapropism.")</f>
        <v>Calling a whale a fish is a common misnomer, which is a frequently confused concept with a malapropism.</v>
      </c>
      <c r="E420" s="5"/>
      <c r="F420" s="5"/>
      <c r="G420" s="5"/>
      <c r="H420" s="5"/>
      <c r="I420" s="5"/>
      <c r="J420" s="5"/>
      <c r="K420" s="5"/>
      <c r="L420" s="5"/>
      <c r="M420" s="5"/>
      <c r="N420" s="5"/>
      <c r="O420" s="5"/>
      <c r="P420" s="5"/>
      <c r="Q420" s="5"/>
      <c r="R420" s="5"/>
      <c r="S420" s="5"/>
      <c r="T420" s="5"/>
      <c r="U420" s="5"/>
      <c r="V420" s="5"/>
      <c r="W420" s="5"/>
      <c r="X420" s="5"/>
      <c r="Y420" s="5"/>
      <c r="Z420" s="5"/>
    </row>
    <row r="421" spans="1:26" ht="12.5" x14ac:dyDescent="0.25">
      <c r="A421" s="5" t="s">
        <v>883</v>
      </c>
      <c r="B421" s="5" t="str">
        <f ca="1">IFERROR(__xludf.DUMMYFUNCTION("AI(""Fill an appropriate value for this cell based on the table context"")"),"a grammatical mistake or social blunder")</f>
        <v>a grammatical mistake or social blunder</v>
      </c>
      <c r="C421" s="5" t="str">
        <f ca="1">IFERROR(__xludf.DUMMYFUNCTION("AI(""Fill an appropriate value for this cell based on the table context"")"),"gaffe, blunder, faux pas")</f>
        <v>gaffe, blunder, faux pas</v>
      </c>
      <c r="D421" s="5" t="str">
        <f ca="1">IFERROR(__xludf.DUMMYFUNCTION("AI(""Fill an appropriate value for this cell based on the table context"")"),"The diplomat committed a major solecism by addressing the ambassador by the wrong title.")</f>
        <v>The diplomat committed a major solecism by addressing the ambassador by the wrong title.</v>
      </c>
      <c r="E421" s="5"/>
      <c r="F421" s="5"/>
      <c r="G421" s="5"/>
      <c r="H421" s="5"/>
      <c r="I421" s="5"/>
      <c r="J421" s="5"/>
      <c r="K421" s="5"/>
      <c r="L421" s="5"/>
      <c r="M421" s="5"/>
      <c r="N421" s="5"/>
      <c r="O421" s="5"/>
      <c r="P421" s="5"/>
      <c r="Q421" s="5"/>
      <c r="R421" s="5"/>
      <c r="S421" s="5"/>
      <c r="T421" s="5"/>
      <c r="U421" s="5"/>
      <c r="V421" s="5"/>
      <c r="W421" s="5"/>
      <c r="X421" s="5"/>
      <c r="Y421" s="5"/>
      <c r="Z421" s="5"/>
    </row>
    <row r="422" spans="1:26" ht="12.5" x14ac:dyDescent="0.25">
      <c r="A422" s="5" t="s">
        <v>884</v>
      </c>
      <c r="B422" s="5" t="str">
        <f ca="1">IFERROR(__xludf.DUMMYFUNCTION("AI(""Fill an appropriate value for this cell based on the table context"")"),"an official agreement between parties or an imposing of harmony and unity")</f>
        <v>an official agreement between parties or an imposing of harmony and unity</v>
      </c>
      <c r="C422" s="5" t="str">
        <f ca="1">IFERROR(__xludf.DUMMYFUNCTION("AI(""Fill an appropriate value for this cell based on the table context"")"),"agreement, harmony, pact")</f>
        <v>agreement, harmony, pact</v>
      </c>
      <c r="D422" s="5" t="str">
        <f ca="1">IFERROR(__xludf.DUMMYFUNCTION("AI(""Fill an appropriate value for this cell based on the table context"")"),"The two countries signed a peace accord to end the long-standing conflict.")</f>
        <v>The two countries signed a peace accord to end the long-standing conflict.</v>
      </c>
      <c r="E422" s="5"/>
      <c r="F422" s="5"/>
      <c r="G422" s="5"/>
      <c r="H422" s="5"/>
      <c r="I422" s="5"/>
      <c r="J422" s="5"/>
      <c r="K422" s="5"/>
      <c r="L422" s="5"/>
      <c r="M422" s="5"/>
      <c r="N422" s="5"/>
      <c r="O422" s="5"/>
      <c r="P422" s="5"/>
      <c r="Q422" s="5"/>
      <c r="R422" s="5"/>
      <c r="S422" s="5"/>
      <c r="T422" s="5"/>
      <c r="U422" s="5"/>
      <c r="V422" s="5"/>
      <c r="W422" s="5"/>
      <c r="X422" s="5"/>
      <c r="Y422" s="5"/>
      <c r="Z422" s="5"/>
    </row>
    <row r="423" spans="1:26" ht="12.5" x14ac:dyDescent="0.25">
      <c r="A423" s="5" t="s">
        <v>885</v>
      </c>
      <c r="B423" s="5" t="str">
        <f ca="1">IFERROR(__xludf.DUMMYFUNCTION("AI(""Fill an appropriate value for this cell based on the table context"")"),"generous and forgiving, especially toward a rival or less powerful person")</f>
        <v>generous and forgiving, especially toward a rival or less powerful person</v>
      </c>
      <c r="C423" s="5" t="str">
        <f ca="1">IFERROR(__xludf.DUMMYFUNCTION("AI(""Fill an appropriate value for this cell based on the table context"")"),"generous, noble, benevolent")</f>
        <v>generous, noble, benevolent</v>
      </c>
      <c r="D423" s="5" t="str">
        <f ca="1">IFERROR(__xludf.DUMMYFUNCTION("AI(""Fill an appropriate value for this cell based on the table context"")"),"The team's manager was magnanimous in victory and praised the opposing team for their effort.")</f>
        <v>The team's manager was magnanimous in victory and praised the opposing team for their effort.</v>
      </c>
      <c r="E423" s="5"/>
      <c r="F423" s="5"/>
      <c r="G423" s="5"/>
      <c r="H423" s="5"/>
      <c r="I423" s="5"/>
      <c r="J423" s="5"/>
      <c r="K423" s="5"/>
      <c r="L423" s="5"/>
      <c r="M423" s="5"/>
      <c r="N423" s="5"/>
      <c r="O423" s="5"/>
      <c r="P423" s="5"/>
      <c r="Q423" s="5"/>
      <c r="R423" s="5"/>
      <c r="S423" s="5"/>
      <c r="T423" s="5"/>
      <c r="U423" s="5"/>
      <c r="V423" s="5"/>
      <c r="W423" s="5"/>
      <c r="X423" s="5"/>
      <c r="Y423" s="5"/>
      <c r="Z423" s="5"/>
    </row>
    <row r="424" spans="1:26" ht="25" x14ac:dyDescent="0.25">
      <c r="A424" s="5" t="s">
        <v>886</v>
      </c>
      <c r="B424" s="5" t="str">
        <f ca="1">IFERROR(__xludf.DUMMYFUNCTION("AI(""Fill an appropriate value for this cell based on the table context"")"),"excessively ornate or elaborate; relating to an 18th-century artistic style characterized by elaborate ornamentation and fanciful curved forms")</f>
        <v>excessively ornate or elaborate; relating to an 18th-century artistic style characterized by elaborate ornamentation and fanciful curved forms</v>
      </c>
      <c r="C424" s="5" t="str">
        <f ca="1">IFERROR(__xludf.DUMMYFUNCTION("AI(""Fill an appropriate value for this cell based on the table context"")"),"baroque, ornate, florid")</f>
        <v>baroque, ornate, florid</v>
      </c>
      <c r="D424" s="5" t="str">
        <f ca="1">IFERROR(__xludf.DUMMYFUNCTION("AI(""Fill an appropriate value for this cell based on the table context"")"),"The church was decorated with ornate rococo plasterwork and gilded carvings.")</f>
        <v>The church was decorated with ornate rococo plasterwork and gilded carvings.</v>
      </c>
      <c r="E424" s="5"/>
      <c r="F424" s="5"/>
      <c r="G424" s="5"/>
      <c r="H424" s="5"/>
      <c r="I424" s="5"/>
      <c r="J424" s="5"/>
      <c r="K424" s="5"/>
      <c r="L424" s="5"/>
      <c r="M424" s="5"/>
      <c r="N424" s="5"/>
      <c r="O424" s="5"/>
      <c r="P424" s="5"/>
      <c r="Q424" s="5"/>
      <c r="R424" s="5"/>
      <c r="S424" s="5"/>
      <c r="T424" s="5"/>
      <c r="U424" s="5"/>
      <c r="V424" s="5"/>
      <c r="W424" s="5"/>
      <c r="X424" s="5"/>
      <c r="Y424" s="5"/>
      <c r="Z424" s="5"/>
    </row>
    <row r="425" spans="1:26" ht="12.5" x14ac:dyDescent="0.25">
      <c r="A425" s="5" t="s">
        <v>887</v>
      </c>
      <c r="B425" s="5" t="str">
        <f ca="1">IFERROR(__xludf.DUMMYFUNCTION("AI(""Fill an appropriate value for this cell based on the table context"")"),"excessively ornate, elaborate, or flowery; having a red or flushed complexion")</f>
        <v>excessively ornate, elaborate, or flowery; having a red or flushed complexion</v>
      </c>
      <c r="C425" s="5" t="str">
        <f ca="1">IFERROR(__xludf.DUMMYFUNCTION("AI(""Fill an appropriate value for this cell based on the table context"")"),"flowery, ornate, grandiloquent")</f>
        <v>flowery, ornate, grandiloquent</v>
      </c>
      <c r="D425" s="5" t="str">
        <f ca="1">IFERROR(__xludf.DUMMYFUNCTION("AI(""Fill an appropriate value for this cell based on the table context"")"),"The author's florid prose was filled with overly ornate and unnecessary descriptions.")</f>
        <v>The author's florid prose was filled with overly ornate and unnecessary descriptions.</v>
      </c>
      <c r="E425" s="5"/>
      <c r="F425" s="5"/>
      <c r="G425" s="5"/>
      <c r="H425" s="5"/>
      <c r="I425" s="5"/>
      <c r="J425" s="5"/>
      <c r="K425" s="5"/>
      <c r="L425" s="5"/>
      <c r="M425" s="5"/>
      <c r="N425" s="5"/>
      <c r="O425" s="5"/>
      <c r="P425" s="5"/>
      <c r="Q425" s="5"/>
      <c r="R425" s="5"/>
      <c r="S425" s="5"/>
      <c r="T425" s="5"/>
      <c r="U425" s="5"/>
      <c r="V425" s="5"/>
      <c r="W425" s="5"/>
      <c r="X425" s="5"/>
      <c r="Y425" s="5"/>
      <c r="Z425" s="5"/>
    </row>
    <row r="426" spans="1:26" ht="12.5" x14ac:dyDescent="0.25">
      <c r="A426" s="5" t="s">
        <v>888</v>
      </c>
      <c r="B426" s="5" t="str">
        <f ca="1">IFERROR(__xludf.DUMMYFUNCTION("AI(""Fill an appropriate value for this cell based on the table context"")"),"heavily or elaborately decorated")</f>
        <v>heavily or elaborately decorated</v>
      </c>
      <c r="C426" s="5" t="str">
        <f ca="1">IFERROR(__xludf.DUMMYFUNCTION("AI(""Fill an appropriate value for this cell based on the table context"")"),"elaborate, decorated, embellished")</f>
        <v>elaborate, decorated, embellished</v>
      </c>
      <c r="D426" s="5" t="str">
        <f ca="1">IFERROR(__xludf.DUMMYFUNCTION("AI(""Fill an appropriate value for this cell based on the table context"")"),"The palace was decorated with ornate gold mirrors and elaborate carvings.")</f>
        <v>The palace was decorated with ornate gold mirrors and elaborate carvings.</v>
      </c>
      <c r="E426" s="5"/>
      <c r="F426" s="5"/>
      <c r="G426" s="5"/>
      <c r="H426" s="5"/>
      <c r="I426" s="5"/>
      <c r="J426" s="5"/>
      <c r="K426" s="5"/>
      <c r="L426" s="5"/>
      <c r="M426" s="5"/>
      <c r="N426" s="5"/>
      <c r="O426" s="5"/>
      <c r="P426" s="5"/>
      <c r="Q426" s="5"/>
      <c r="R426" s="5"/>
      <c r="S426" s="5"/>
      <c r="T426" s="5"/>
      <c r="U426" s="5"/>
      <c r="V426" s="5"/>
      <c r="W426" s="5"/>
      <c r="X426" s="5"/>
      <c r="Y426" s="5"/>
      <c r="Z426" s="5"/>
    </row>
    <row r="427" spans="1:26" ht="12.5" x14ac:dyDescent="0.25">
      <c r="A427" s="5" t="s">
        <v>889</v>
      </c>
      <c r="B427" s="5" t="str">
        <f ca="1">IFERROR(__xludf.DUMMYFUNCTION("AI(""Fill an appropriate value for this cell based on the table context"")"),"using pompous or extravagant language to impress people")</f>
        <v>using pompous or extravagant language to impress people</v>
      </c>
      <c r="C427" s="5" t="str">
        <f ca="1">IFERROR(__xludf.DUMMYFUNCTION("AI(""Fill an appropriate value for this cell based on the table context"")"),"bombastic, pompous, pretentious")</f>
        <v>bombastic, pompous, pretentious</v>
      </c>
      <c r="D427" s="5" t="str">
        <f ca="1">IFERROR(__xludf.DUMMYFUNCTION("AI(""Fill an appropriate value for this cell based on the table context"")"),"The student's grandiloquent speech was filled with big words, but it failed to make a convincing point.")</f>
        <v>The student's grandiloquent speech was filled with big words, but it failed to make a convincing point.</v>
      </c>
      <c r="E427" s="5"/>
      <c r="F427" s="5"/>
      <c r="G427" s="5"/>
      <c r="H427" s="5"/>
      <c r="I427" s="5"/>
      <c r="J427" s="5"/>
      <c r="K427" s="5"/>
      <c r="L427" s="5"/>
      <c r="M427" s="5"/>
      <c r="N427" s="5"/>
      <c r="O427" s="5"/>
      <c r="P427" s="5"/>
      <c r="Q427" s="5"/>
      <c r="R427" s="5"/>
      <c r="S427" s="5"/>
      <c r="T427" s="5"/>
      <c r="U427" s="5"/>
      <c r="V427" s="5"/>
      <c r="W427" s="5"/>
      <c r="X427" s="5"/>
      <c r="Y427" s="5"/>
      <c r="Z427" s="5"/>
    </row>
    <row r="428" spans="1:26" ht="12.5" x14ac:dyDescent="0.25">
      <c r="A428" s="5" t="s">
        <v>890</v>
      </c>
      <c r="B428" s="5" t="str">
        <f ca="1">IFERROR(__xludf.DUMMYFUNCTION("AI(""Fill an appropriate value for this cell based on the table context"")"),"high-sounding but with little meaning; pompous or inflated")</f>
        <v>high-sounding but with little meaning; pompous or inflated</v>
      </c>
      <c r="C428" s="5" t="str">
        <f ca="1">IFERROR(__xludf.DUMMYFUNCTION("AI(""Fill an appropriate value for this cell based on the table context"")"),"pompous, grandiloquent, high-flown")</f>
        <v>pompous, grandiloquent, high-flown</v>
      </c>
      <c r="D428" s="5" t="str">
        <f ca="1">IFERROR(__xludf.DUMMYFUNCTION("AI(""Fill an appropriate value for this cell based on the table context"")"),"The politician delivered a bombastic speech that was full of grand promises but lacked any substance.")</f>
        <v>The politician delivered a bombastic speech that was full of grand promises but lacked any substance.</v>
      </c>
      <c r="E428" s="5"/>
      <c r="F428" s="5"/>
      <c r="G428" s="5"/>
      <c r="H428" s="5"/>
      <c r="I428" s="5"/>
      <c r="J428" s="5"/>
      <c r="K428" s="5"/>
      <c r="L428" s="5"/>
      <c r="M428" s="5"/>
      <c r="N428" s="5"/>
      <c r="O428" s="5"/>
      <c r="P428" s="5"/>
      <c r="Q428" s="5"/>
      <c r="R428" s="5"/>
      <c r="S428" s="5"/>
      <c r="T428" s="5"/>
      <c r="U428" s="5"/>
      <c r="V428" s="5"/>
      <c r="W428" s="5"/>
      <c r="X428" s="5"/>
      <c r="Y428" s="5"/>
      <c r="Z428" s="5"/>
    </row>
    <row r="429" spans="1:26" ht="12.5" x14ac:dyDescent="0.25">
      <c r="A429" s="5" t="s">
        <v>891</v>
      </c>
      <c r="B429" s="5" t="str">
        <f ca="1">IFERROR(__xludf.DUMMYFUNCTION("AI(""Fill an appropriate value for this cell based on the table context"")"),"put something or someone in danger; endanger")</f>
        <v>put something or someone in danger; endanger</v>
      </c>
      <c r="C429" s="5" t="str">
        <f ca="1">IFERROR(__xludf.DUMMYFUNCTION("AI(""Fill an appropriate value for this cell based on the table context"")"),"endanger, jeopardize, risk")</f>
        <v>endanger, jeopardize, risk</v>
      </c>
      <c r="D429" s="5" t="str">
        <f ca="1">IFERROR(__xludf.DUMMYFUNCTION("AI(""Fill an appropriate value for this cell based on the table context"")"),"The high winds threatened to imperil the safety of the sailors on the small boat.")</f>
        <v>The high winds threatened to imperil the safety of the sailors on the small boat.</v>
      </c>
      <c r="E429" s="5"/>
      <c r="F429" s="5"/>
      <c r="G429" s="5"/>
      <c r="H429" s="5"/>
      <c r="I429" s="5"/>
      <c r="J429" s="5"/>
      <c r="K429" s="5"/>
      <c r="L429" s="5"/>
      <c r="M429" s="5"/>
      <c r="N429" s="5"/>
      <c r="O429" s="5"/>
      <c r="P429" s="5"/>
      <c r="Q429" s="5"/>
      <c r="R429" s="5"/>
      <c r="S429" s="5"/>
      <c r="T429" s="5"/>
      <c r="U429" s="5"/>
      <c r="V429" s="5"/>
      <c r="W429" s="5"/>
      <c r="X429" s="5"/>
      <c r="Y429" s="5"/>
      <c r="Z429" s="5"/>
    </row>
    <row r="430" spans="1:26" ht="12.5" x14ac:dyDescent="0.25">
      <c r="A430" s="5" t="s">
        <v>892</v>
      </c>
      <c r="B430" s="5" t="str">
        <f ca="1">IFERROR(__xludf.DUMMYFUNCTION("AI(""Fill an appropriate value for this cell based on the table context"")"),"appeasing or soothing, making someone less angry or upset")</f>
        <v>appeasing or soothing, making someone less angry or upset</v>
      </c>
      <c r="C430" s="5" t="str">
        <f ca="1">IFERROR(__xludf.DUMMYFUNCTION("AI(""Fill an appropriate value for this cell based on the table context"")"),"conciliatory, soothing, appeasing")</f>
        <v>conciliatory, soothing, appeasing</v>
      </c>
      <c r="D430" s="5" t="str">
        <f ca="1">IFERROR(__xludf.DUMMYFUNCTION("AI(""Fill an appropriate value for this cell based on the table context"")"),"He made a mollifying gesture in an attempt to ease the tension in the room.")</f>
        <v>He made a mollifying gesture in an attempt to ease the tension in the room.</v>
      </c>
      <c r="E430" s="5"/>
      <c r="F430" s="5"/>
      <c r="G430" s="5"/>
      <c r="H430" s="5"/>
      <c r="I430" s="5"/>
      <c r="J430" s="5"/>
      <c r="K430" s="5"/>
      <c r="L430" s="5"/>
      <c r="M430" s="5"/>
      <c r="N430" s="5"/>
      <c r="O430" s="5"/>
      <c r="P430" s="5"/>
      <c r="Q430" s="5"/>
      <c r="R430" s="5"/>
      <c r="S430" s="5"/>
      <c r="T430" s="5"/>
      <c r="U430" s="5"/>
      <c r="V430" s="5"/>
      <c r="W430" s="5"/>
      <c r="X430" s="5"/>
      <c r="Y430" s="5"/>
      <c r="Z430" s="5"/>
    </row>
    <row r="431" spans="1:26" ht="12.5" x14ac:dyDescent="0.25">
      <c r="A431" s="5" t="s">
        <v>893</v>
      </c>
      <c r="B431" s="5" t="str">
        <f ca="1">IFERROR(__xludf.DUMMYFUNCTION("AI(""Fill an appropriate value for this cell based on the table context"")"),"intended to make someone less angry; pacifying or soothing")</f>
        <v>intended to make someone less angry; pacifying or soothing</v>
      </c>
      <c r="C431" s="5" t="str">
        <f ca="1">IFERROR(__xludf.DUMMYFUNCTION("AI(""Fill an appropriate value for this cell based on the table context"")"),"appeasing, conciliatory, mollifying")</f>
        <v>appeasing, conciliatory, mollifying</v>
      </c>
      <c r="D431" s="5" t="str">
        <f ca="1">IFERROR(__xludf.DUMMYFUNCTION("AI(""Fill an appropriate value for this cell based on the table context"")"),"He offered a placatory smile to soothe the upset customer.")</f>
        <v>He offered a placatory smile to soothe the upset customer.</v>
      </c>
      <c r="E431" s="5"/>
      <c r="F431" s="5"/>
      <c r="G431" s="5"/>
      <c r="H431" s="5"/>
      <c r="I431" s="5"/>
      <c r="J431" s="5"/>
      <c r="K431" s="5"/>
      <c r="L431" s="5"/>
      <c r="M431" s="5"/>
      <c r="N431" s="5"/>
      <c r="O431" s="5"/>
      <c r="P431" s="5"/>
      <c r="Q431" s="5"/>
      <c r="R431" s="5"/>
      <c r="S431" s="5"/>
      <c r="T431" s="5"/>
      <c r="U431" s="5"/>
      <c r="V431" s="5"/>
      <c r="W431" s="5"/>
      <c r="X431" s="5"/>
      <c r="Y431" s="5"/>
      <c r="Z431" s="5"/>
    </row>
    <row r="432" spans="1:26" ht="12.5" x14ac:dyDescent="0.25">
      <c r="A432" s="5" t="s">
        <v>894</v>
      </c>
      <c r="B432" s="5" t="str">
        <f ca="1">IFERROR(__xludf.DUMMYFUNCTION("AI(""Fill an appropriate value for this cell based on the table context"")"),"a person's face or facial expression; support or approval")</f>
        <v>a person's face or facial expression; support or approval</v>
      </c>
      <c r="C432" s="5" t="str">
        <f ca="1">IFERROR(__xludf.DUMMYFUNCTION("AI(""Fill an appropriate value for this cell based on the table context"")"),"face, expression, visage")</f>
        <v>face, expression, visage</v>
      </c>
      <c r="D432" s="5" t="str">
        <f ca="1">IFERROR(__xludf.DUMMYFUNCTION("AI(""Fill an appropriate value for this cell based on the table context"")"),"His calm countenance gave no indication of the inner panic he was feeling.")</f>
        <v>His calm countenance gave no indication of the inner panic he was feeling.</v>
      </c>
      <c r="E432" s="5"/>
      <c r="F432" s="5"/>
      <c r="G432" s="5"/>
      <c r="H432" s="5"/>
      <c r="I432" s="5"/>
      <c r="J432" s="5"/>
      <c r="K432" s="5"/>
      <c r="L432" s="5"/>
      <c r="M432" s="5"/>
      <c r="N432" s="5"/>
      <c r="O432" s="5"/>
      <c r="P432" s="5"/>
      <c r="Q432" s="5"/>
      <c r="R432" s="5"/>
      <c r="S432" s="5"/>
      <c r="T432" s="5"/>
      <c r="U432" s="5"/>
      <c r="V432" s="5"/>
      <c r="W432" s="5"/>
      <c r="X432" s="5"/>
      <c r="Y432" s="5"/>
      <c r="Z432" s="5"/>
    </row>
    <row r="433" spans="1:26" ht="12.5" x14ac:dyDescent="0.25">
      <c r="A433" s="5" t="s">
        <v>895</v>
      </c>
      <c r="B433" s="5" t="str">
        <f ca="1">IFERROR(__xludf.DUMMYFUNCTION("AI(""Fill an appropriate value for this cell based on the table context"")"),"irrelevant or not directly related to the subject")</f>
        <v>irrelevant or not directly related to the subject</v>
      </c>
      <c r="C433" s="5" t="str">
        <f ca="1">IFERROR(__xludf.DUMMYFUNCTION("AI(""Fill an appropriate value for this cell based on the table context"")"),"irrelevant, extrinsic, foreign")</f>
        <v>irrelevant, extrinsic, foreign</v>
      </c>
      <c r="D433" s="5" t="str">
        <f ca="1">IFERROR(__xludf.DUMMYFUNCTION("AI(""Fill an appropriate value for this cell based on the table context"")"),"She eliminated all extraneous details from her essay to make her argument clearer.")</f>
        <v>She eliminated all extraneous details from her essay to make her argument clearer.</v>
      </c>
      <c r="E433" s="5"/>
      <c r="F433" s="5"/>
      <c r="G433" s="5"/>
      <c r="H433" s="5"/>
      <c r="I433" s="5"/>
      <c r="J433" s="5"/>
      <c r="K433" s="5"/>
      <c r="L433" s="5"/>
      <c r="M433" s="5"/>
      <c r="N433" s="5"/>
      <c r="O433" s="5"/>
      <c r="P433" s="5"/>
      <c r="Q433" s="5"/>
      <c r="R433" s="5"/>
      <c r="S433" s="5"/>
      <c r="T433" s="5"/>
      <c r="U433" s="5"/>
      <c r="V433" s="5"/>
      <c r="W433" s="5"/>
      <c r="X433" s="5"/>
      <c r="Y433" s="5"/>
      <c r="Z433" s="5"/>
    </row>
    <row r="434" spans="1:26" ht="12.5" x14ac:dyDescent="0.25">
      <c r="A434" s="5" t="s">
        <v>896</v>
      </c>
      <c r="B434" s="5" t="str">
        <f ca="1">IFERROR(__xludf.DUMMYFUNCTION("AI(""Fill an appropriate value for this cell based on the table context"")"),"likely to arouse resentment, ill will, or anger; unfairly discriminating")</f>
        <v>likely to arouse resentment, ill will, or anger; unfairly discriminating</v>
      </c>
      <c r="C434" s="5" t="str">
        <f ca="1">IFERROR(__xludf.DUMMYFUNCTION("AI(""Fill an appropriate value for this cell based on the table context"")"),"unfair, discriminatory, offensive")</f>
        <v>unfair, discriminatory, offensive</v>
      </c>
      <c r="D434" s="5" t="str">
        <f ca="1">IFERROR(__xludf.DUMMYFUNCTION("AI(""Fill an appropriate value for this cell based on the table context"")"),"The manager was careful to avoid making invidious comparisons between the team members.")</f>
        <v>The manager was careful to avoid making invidious comparisons between the team members.</v>
      </c>
      <c r="E434" s="5"/>
      <c r="F434" s="5"/>
      <c r="G434" s="5"/>
      <c r="H434" s="5"/>
      <c r="I434" s="5"/>
      <c r="J434" s="5"/>
      <c r="K434" s="5"/>
      <c r="L434" s="5"/>
      <c r="M434" s="5"/>
      <c r="N434" s="5"/>
      <c r="O434" s="5"/>
      <c r="P434" s="5"/>
      <c r="Q434" s="5"/>
      <c r="R434" s="5"/>
      <c r="S434" s="5"/>
      <c r="T434" s="5"/>
      <c r="U434" s="5"/>
      <c r="V434" s="5"/>
      <c r="W434" s="5"/>
      <c r="X434" s="5"/>
      <c r="Y434" s="5"/>
      <c r="Z434" s="5"/>
    </row>
    <row r="435" spans="1:26" ht="12.5" x14ac:dyDescent="0.25">
      <c r="A435" s="5" t="s">
        <v>897</v>
      </c>
      <c r="B435" s="5" t="str">
        <f ca="1">IFERROR(__xludf.DUMMYFUNCTION("AI(""Fill an appropriate value for this cell based on the table context"")"),"extremely clear, transparent, or easy to understand")</f>
        <v>extremely clear, transparent, or easy to understand</v>
      </c>
      <c r="C435" s="5" t="str">
        <f ca="1">IFERROR(__xludf.DUMMYFUNCTION("AI(""Fill an appropriate value for this cell based on the table context"")"),"clear, transparent, limpid")</f>
        <v>clear, transparent, limpid</v>
      </c>
      <c r="D435" s="5" t="str">
        <f ca="1">IFERROR(__xludf.DUMMYFUNCTION("AI(""Fill an appropriate value for this cell based on the table context"")"),"The mountain stream was so pellucid that every pebble on the bottom was clearly visible.")</f>
        <v>The mountain stream was so pellucid that every pebble on the bottom was clearly visible.</v>
      </c>
      <c r="E435" s="5"/>
      <c r="F435" s="5"/>
      <c r="G435" s="5"/>
      <c r="H435" s="5"/>
      <c r="I435" s="5"/>
      <c r="J435" s="5"/>
      <c r="K435" s="5"/>
      <c r="L435" s="5"/>
      <c r="M435" s="5"/>
      <c r="N435" s="5"/>
      <c r="O435" s="5"/>
      <c r="P435" s="5"/>
      <c r="Q435" s="5"/>
      <c r="R435" s="5"/>
      <c r="S435" s="5"/>
      <c r="T435" s="5"/>
      <c r="U435" s="5"/>
      <c r="V435" s="5"/>
      <c r="W435" s="5"/>
      <c r="X435" s="5"/>
      <c r="Y435" s="5"/>
      <c r="Z435" s="5"/>
    </row>
    <row r="436" spans="1:26" ht="12.5" x14ac:dyDescent="0.25">
      <c r="A436" s="5" t="s">
        <v>898</v>
      </c>
      <c r="B436" s="5" t="str">
        <f ca="1">IFERROR(__xludf.DUMMYFUNCTION("AI(""Fill an appropriate value for this cell based on the table context"")"),"having a strong religious or spiritual quality; mysterious or awe-inspiring")</f>
        <v>having a strong religious or spiritual quality; mysterious or awe-inspiring</v>
      </c>
      <c r="C436" s="5" t="str">
        <f ca="1">IFERROR(__xludf.DUMMYFUNCTION("AI(""Fill an appropriate value for this cell based on the table context"")"),"spiritual, sacred, divine")</f>
        <v>spiritual, sacred, divine</v>
      </c>
      <c r="D436" s="5" t="str">
        <f ca="1">IFERROR(__xludf.DUMMYFUNCTION("AI(""Fill an appropriate value for this cell based on the table context"")"),"The choir's voices filled the ancient cathedral with a numinous power that left the congregation in awe.")</f>
        <v>The choir's voices filled the ancient cathedral with a numinous power that left the congregation in awe.</v>
      </c>
      <c r="E436" s="5"/>
      <c r="F436" s="5"/>
      <c r="G436" s="5"/>
      <c r="H436" s="5"/>
      <c r="I436" s="5"/>
      <c r="J436" s="5"/>
      <c r="K436" s="5"/>
      <c r="L436" s="5"/>
      <c r="M436" s="5"/>
      <c r="N436" s="5"/>
      <c r="O436" s="5"/>
      <c r="P436" s="5"/>
      <c r="Q436" s="5"/>
      <c r="R436" s="5"/>
      <c r="S436" s="5"/>
      <c r="T436" s="5"/>
      <c r="U436" s="5"/>
      <c r="V436" s="5"/>
      <c r="W436" s="5"/>
      <c r="X436" s="5"/>
      <c r="Y436" s="5"/>
      <c r="Z436" s="5"/>
    </row>
    <row r="437" spans="1:26" ht="25" x14ac:dyDescent="0.25">
      <c r="A437" s="5" t="s">
        <v>899</v>
      </c>
      <c r="B437" s="5" t="str">
        <f ca="1">IFERROR(__xludf.DUMMYFUNCTION("AI(""Fill an appropriate value for this cell based on the table context"")"),"pour liquid gradually from one container into another, especially without disturbing the sediment")</f>
        <v>pour liquid gradually from one container into another, especially without disturbing the sediment</v>
      </c>
      <c r="C437" s="5" t="str">
        <f ca="1">IFERROR(__xludf.DUMMYFUNCTION("AI(""Fill an appropriate value for this cell based on the table context"")"),"pour, draft, transfer")</f>
        <v>pour, draft, transfer</v>
      </c>
      <c r="D437" s="5" t="str">
        <f ca="1">IFERROR(__xludf.DUMMYFUNCTION("AI(""Fill an appropriate value for this cell based on the table context"")"),"The waiter uncorked the bottle and decanted the wine an hour before dinner.")</f>
        <v>The waiter uncorked the bottle and decanted the wine an hour before dinner.</v>
      </c>
      <c r="E437" s="5"/>
      <c r="F437" s="5"/>
      <c r="G437" s="5"/>
      <c r="H437" s="5"/>
      <c r="I437" s="5"/>
      <c r="J437" s="5"/>
      <c r="K437" s="5"/>
      <c r="L437" s="5"/>
      <c r="M437" s="5"/>
      <c r="N437" s="5"/>
      <c r="O437" s="5"/>
      <c r="P437" s="5"/>
      <c r="Q437" s="5"/>
      <c r="R437" s="5"/>
      <c r="S437" s="5"/>
      <c r="T437" s="5"/>
      <c r="U437" s="5"/>
      <c r="V437" s="5"/>
      <c r="W437" s="5"/>
      <c r="X437" s="5"/>
      <c r="Y437" s="5"/>
      <c r="Z437" s="5"/>
    </row>
    <row r="438" spans="1:26" ht="12.5" x14ac:dyDescent="0.25">
      <c r="A438" s="5" t="s">
        <v>900</v>
      </c>
      <c r="B438" s="5" t="str">
        <f ca="1">IFERROR(__xludf.DUMMYFUNCTION("AI(""Fill an appropriate value for this cell based on the table context"")"),"the state of being confined as a prisoner, especially for political or military reasons")</f>
        <v>the state of being confined as a prisoner, especially for political or military reasons</v>
      </c>
      <c r="C438" s="5" t="str">
        <f ca="1">IFERROR(__xludf.DUMMYFUNCTION("AI(""Fill an appropriate value for this cell based on the table context"")"),"confinement, incarceration, detention")</f>
        <v>confinement, incarceration, detention</v>
      </c>
      <c r="D438" s="5" t="str">
        <f ca="1">IFERROR(__xludf.DUMMYFUNCTION("AI(""Fill an appropriate value for this cell based on the table context"")"),"During the war, thousands of civilians were subject to forced internment in military camps.")</f>
        <v>During the war, thousands of civilians were subject to forced internment in military camps.</v>
      </c>
      <c r="E438" s="5"/>
      <c r="F438" s="5"/>
      <c r="G438" s="5"/>
      <c r="H438" s="5"/>
      <c r="I438" s="5"/>
      <c r="J438" s="5"/>
      <c r="K438" s="5"/>
      <c r="L438" s="5"/>
      <c r="M438" s="5"/>
      <c r="N438" s="5"/>
      <c r="O438" s="5"/>
      <c r="P438" s="5"/>
      <c r="Q438" s="5"/>
      <c r="R438" s="5"/>
      <c r="S438" s="5"/>
      <c r="T438" s="5"/>
      <c r="U438" s="5"/>
      <c r="V438" s="5"/>
      <c r="W438" s="5"/>
      <c r="X438" s="5"/>
      <c r="Y438" s="5"/>
      <c r="Z438" s="5"/>
    </row>
    <row r="439" spans="1:26" ht="12.5" x14ac:dyDescent="0.25">
      <c r="A439" s="5" t="s">
        <v>901</v>
      </c>
      <c r="B439" s="5" t="str">
        <f ca="1">IFERROR(__xludf.DUMMYFUNCTION("AI(""Fill an appropriate value for this cell based on the table context"")"),"thin tubes inserted into a vein or body cavity to administer fluid or medication")</f>
        <v>thin tubes inserted into a vein or body cavity to administer fluid or medication</v>
      </c>
      <c r="C439" s="5" t="str">
        <f ca="1">IFERROR(__xludf.DUMMYFUNCTION("AI(""Fill an appropriate value for this cell based on the table context"")"),"catheter, tube, venflon")</f>
        <v>catheter, tube, venflon</v>
      </c>
      <c r="D439" s="5" t="str">
        <f ca="1">IFERROR(__xludf.DUMMYFUNCTION("AI(""Fill an appropriate value for this cell based on the table context"")"),"The nurse prepared the cannulae to administer intravenous fluids to the patients.")</f>
        <v>The nurse prepared the cannulae to administer intravenous fluids to the patients.</v>
      </c>
      <c r="E439" s="5"/>
      <c r="F439" s="5"/>
      <c r="G439" s="5"/>
      <c r="H439" s="5"/>
      <c r="I439" s="5"/>
      <c r="J439" s="5"/>
      <c r="K439" s="5"/>
      <c r="L439" s="5"/>
      <c r="M439" s="5"/>
      <c r="N439" s="5"/>
      <c r="O439" s="5"/>
      <c r="P439" s="5"/>
      <c r="Q439" s="5"/>
      <c r="R439" s="5"/>
      <c r="S439" s="5"/>
      <c r="T439" s="5"/>
      <c r="U439" s="5"/>
      <c r="V439" s="5"/>
      <c r="W439" s="5"/>
      <c r="X439" s="5"/>
      <c r="Y439" s="5"/>
      <c r="Z439" s="5"/>
    </row>
    <row r="440" spans="1:26" ht="12.5" x14ac:dyDescent="0.25">
      <c r="A440" s="5" t="s">
        <v>902</v>
      </c>
      <c r="B440" s="5" t="str">
        <f ca="1">IFERROR(__xludf.DUMMYFUNCTION("AI(""Fill an appropriate value for this cell based on the table context"")"),"a thin, flexible tube inserted into a vein to administer fluids or medication")</f>
        <v>a thin, flexible tube inserted into a vein to administer fluids or medication</v>
      </c>
      <c r="C440" s="5" t="str">
        <f ca="1">IFERROR(__xludf.DUMMYFUNCTION("AI(""Fill an appropriate value for this cell based on the table context"")"),"cannula, catheter, IV line")</f>
        <v>cannula, catheter, IV line</v>
      </c>
      <c r="D440" s="5" t="str">
        <f ca="1">IFERROR(__xludf.DUMMYFUNCTION("AI(""Fill an appropriate value for this cell based on the table context"")"),"The nurse inserted a venflon into the patient's arm to administer the intravenous medication.")</f>
        <v>The nurse inserted a venflon into the patient's arm to administer the intravenous medication.</v>
      </c>
      <c r="E440" s="5"/>
      <c r="F440" s="5"/>
      <c r="G440" s="5"/>
      <c r="H440" s="5"/>
      <c r="I440" s="5"/>
      <c r="J440" s="5"/>
      <c r="K440" s="5"/>
      <c r="L440" s="5"/>
      <c r="M440" s="5"/>
      <c r="N440" s="5"/>
      <c r="O440" s="5"/>
      <c r="P440" s="5"/>
      <c r="Q440" s="5"/>
      <c r="R440" s="5"/>
      <c r="S440" s="5"/>
      <c r="T440" s="5"/>
      <c r="U440" s="5"/>
      <c r="V440" s="5"/>
      <c r="W440" s="5"/>
      <c r="X440" s="5"/>
      <c r="Y440" s="5"/>
      <c r="Z440" s="5"/>
    </row>
    <row r="441" spans="1:26" ht="12.5" x14ac:dyDescent="0.25">
      <c r="A441" s="5" t="s">
        <v>903</v>
      </c>
      <c r="B441" s="5" t="str">
        <f ca="1">IFERROR(__xludf.DUMMYFUNCTION("AI(""Fill an appropriate value for this cell based on the table context"")"),"clever and skillful in the way you think or move")</f>
        <v>clever and skillful in the way you think or move</v>
      </c>
      <c r="C441" s="5" t="str">
        <f ca="1">IFERROR(__xludf.DUMMYFUNCTION("AI(""Fill an appropriate value for this cell based on the table context"")"),"deft, dexterous, adept")</f>
        <v>deft, dexterous, adept</v>
      </c>
      <c r="D441" s="5" t="str">
        <f ca="1">IFERROR(__xludf.DUMMYFUNCTION("AI(""Fill an appropriate value for this cell based on the table context"")"),"With her adroit handling of the complex situation, she resolved the conflict effortlessly.")</f>
        <v>With her adroit handling of the complex situation, she resolved the conflict effortlessly.</v>
      </c>
      <c r="E441" s="5"/>
      <c r="F441" s="5"/>
      <c r="G441" s="5"/>
      <c r="H441" s="5"/>
      <c r="I441" s="5"/>
      <c r="J441" s="5"/>
      <c r="K441" s="5"/>
      <c r="L441" s="5"/>
      <c r="M441" s="5"/>
      <c r="N441" s="5"/>
      <c r="O441" s="5"/>
      <c r="P441" s="5"/>
      <c r="Q441" s="5"/>
      <c r="R441" s="5"/>
      <c r="S441" s="5"/>
      <c r="T441" s="5"/>
      <c r="U441" s="5"/>
      <c r="V441" s="5"/>
      <c r="W441" s="5"/>
      <c r="X441" s="5"/>
      <c r="Y441" s="5"/>
      <c r="Z441" s="5"/>
    </row>
    <row r="442" spans="1:26" ht="12.5" x14ac:dyDescent="0.25">
      <c r="A442" s="5" t="s">
        <v>904</v>
      </c>
      <c r="B442" s="5" t="str">
        <f ca="1">IFERROR(__xludf.DUMMYFUNCTION("AI(""Fill an appropriate value for this cell based on the table context"")"),"present from birth; (of a person) having a particular trait by nature")</f>
        <v>present from birth; (of a person) having a particular trait by nature</v>
      </c>
      <c r="C442" s="5" t="str">
        <f ca="1">IFERROR(__xludf.DUMMYFUNCTION("AI(""Fill an appropriate value for this cell based on the table context"")"),"inborn, innate, hereditary")</f>
        <v>inborn, innate, hereditary</v>
      </c>
      <c r="D442" s="5" t="str">
        <f ca="1">IFERROR(__xludf.DUMMYFUNCTION("AI(""Fill an appropriate value for this cell based on the table context"")"),"He had a congenital heart condition that required treatment shortly after birth.")</f>
        <v>He had a congenital heart condition that required treatment shortly after birth.</v>
      </c>
      <c r="E442" s="5"/>
      <c r="F442" s="5"/>
      <c r="G442" s="5"/>
      <c r="H442" s="5"/>
      <c r="I442" s="5"/>
      <c r="J442" s="5"/>
      <c r="K442" s="5"/>
      <c r="L442" s="5"/>
      <c r="M442" s="5"/>
      <c r="N442" s="5"/>
      <c r="O442" s="5"/>
      <c r="P442" s="5"/>
      <c r="Q442" s="5"/>
      <c r="R442" s="5"/>
      <c r="S442" s="5"/>
      <c r="T442" s="5"/>
      <c r="U442" s="5"/>
      <c r="V442" s="5"/>
      <c r="W442" s="5"/>
      <c r="X442" s="5"/>
      <c r="Y442" s="5"/>
      <c r="Z442" s="5"/>
    </row>
    <row r="443" spans="1:26" ht="12.5" x14ac:dyDescent="0.25">
      <c r="A443" s="5" t="s">
        <v>905</v>
      </c>
      <c r="B443" s="5" t="str">
        <f ca="1">IFERROR(__xludf.DUMMYFUNCTION("AI(""Fill an appropriate value for this cell based on the table context"")"),"stubbornly resistant to authority or control")</f>
        <v>stubbornly resistant to authority or control</v>
      </c>
      <c r="C443" s="5" t="str">
        <f ca="1">IFERROR(__xludf.DUMMYFUNCTION("AI(""Fill an appropriate value for this cell based on the table context"")"),"stubborn, refractory, defiant")</f>
        <v>stubborn, refractory, defiant</v>
      </c>
      <c r="D443" s="5" t="str">
        <f ca="1">IFERROR(__xludf.DUMMYFUNCTION("AI(""Fill an appropriate value for this cell based on the table context"")"),"The recalcitrant employee refused to follow the new office safety guidelines.")</f>
        <v>The recalcitrant employee refused to follow the new office safety guidelines.</v>
      </c>
      <c r="E443" s="5"/>
      <c r="F443" s="5"/>
      <c r="G443" s="5"/>
      <c r="H443" s="5"/>
      <c r="I443" s="5"/>
      <c r="J443" s="5"/>
      <c r="K443" s="5"/>
      <c r="L443" s="5"/>
      <c r="M443" s="5"/>
      <c r="N443" s="5"/>
      <c r="O443" s="5"/>
      <c r="P443" s="5"/>
      <c r="Q443" s="5"/>
      <c r="R443" s="5"/>
      <c r="S443" s="5"/>
      <c r="T443" s="5"/>
      <c r="U443" s="5"/>
      <c r="V443" s="5"/>
      <c r="W443" s="5"/>
      <c r="X443" s="5"/>
      <c r="Y443" s="5"/>
      <c r="Z443" s="5"/>
    </row>
    <row r="444" spans="1:26" ht="12.5" x14ac:dyDescent="0.25">
      <c r="A444" s="5" t="s">
        <v>906</v>
      </c>
      <c r="B444" s="5" t="str">
        <f ca="1">IFERROR(__xludf.DUMMYFUNCTION("AI(""Fill an appropriate value for this cell based on the table context"")"),"difficult to control or unpredictable in behavior")</f>
        <v>difficult to control or unpredictable in behavior</v>
      </c>
      <c r="C444" s="5" t="str">
        <f ca="1">IFERROR(__xludf.DUMMYFUNCTION("AI(""Fill an appropriate value for this cell based on the table context"")"),"willful, headstrong, rebellious")</f>
        <v>willful, headstrong, rebellious</v>
      </c>
      <c r="D444" s="5" t="str">
        <f ca="1">IFERROR(__xludf.DUMMYFUNCTION("AI(""Fill an appropriate value for this cell based on the table context"")"),"The guide spent hours searching for the wayward hikers who had strayed from the main trail.")</f>
        <v>The guide spent hours searching for the wayward hikers who had strayed from the main trail.</v>
      </c>
      <c r="E444" s="5"/>
      <c r="F444" s="5"/>
      <c r="G444" s="5"/>
      <c r="H444" s="5"/>
      <c r="I444" s="5"/>
      <c r="J444" s="5"/>
      <c r="K444" s="5"/>
      <c r="L444" s="5"/>
      <c r="M444" s="5"/>
      <c r="N444" s="5"/>
      <c r="O444" s="5"/>
      <c r="P444" s="5"/>
      <c r="Q444" s="5"/>
      <c r="R444" s="5"/>
      <c r="S444" s="5"/>
      <c r="T444" s="5"/>
      <c r="U444" s="5"/>
      <c r="V444" s="5"/>
      <c r="W444" s="5"/>
      <c r="X444" s="5"/>
      <c r="Y444" s="5"/>
      <c r="Z444" s="5"/>
    </row>
    <row r="445" spans="1:26" ht="12.5" x14ac:dyDescent="0.25">
      <c r="A445" s="5" t="s">
        <v>907</v>
      </c>
      <c r="B445" s="5" t="str">
        <f ca="1">IFERROR(__xludf.DUMMYFUNCTION("AI(""Fill an appropriate value for this cell based on the table context"")"),"stubbornly refusing to change one's opinion or position")</f>
        <v>stubbornly refusing to change one's opinion or position</v>
      </c>
      <c r="C445" s="5" t="str">
        <f ca="1">IFERROR(__xludf.DUMMYFUNCTION("AI(""Fill an appropriate value for this cell based on the table context"")"),"stubborn, inflexible, headstrong")</f>
        <v>stubborn, inflexible, headstrong</v>
      </c>
      <c r="D445" s="5" t="str">
        <f ca="1">IFERROR(__xludf.DUMMYFUNCTION("AI(""Fill an appropriate value for this cell based on the table context"")"),"Despite several convincing arguments, he remained obstinate and refused to change his mind.")</f>
        <v>Despite several convincing arguments, he remained obstinate and refused to change his mind.</v>
      </c>
      <c r="E445" s="5"/>
      <c r="F445" s="5"/>
      <c r="G445" s="5"/>
      <c r="H445" s="5"/>
      <c r="I445" s="5"/>
      <c r="J445" s="5"/>
      <c r="K445" s="5"/>
      <c r="L445" s="5"/>
      <c r="M445" s="5"/>
      <c r="N445" s="5"/>
      <c r="O445" s="5"/>
      <c r="P445" s="5"/>
      <c r="Q445" s="5"/>
      <c r="R445" s="5"/>
      <c r="S445" s="5"/>
      <c r="T445" s="5"/>
      <c r="U445" s="5"/>
      <c r="V445" s="5"/>
      <c r="W445" s="5"/>
      <c r="X445" s="5"/>
      <c r="Y445" s="5"/>
      <c r="Z445" s="5"/>
    </row>
    <row r="446" spans="1:26" ht="12.5" x14ac:dyDescent="0.25">
      <c r="A446" s="5" t="s">
        <v>908</v>
      </c>
      <c r="B446" s="5" t="str">
        <f ca="1">IFERROR(__xludf.DUMMYFUNCTION("AI(""Fill an appropriate value for this cell based on the table context"")"),"stubbornly disobedient; resistant to authority or treatment")</f>
        <v>stubbornly disobedient; resistant to authority or treatment</v>
      </c>
      <c r="C446" s="5" t="str">
        <f ca="1">IFERROR(__xludf.DUMMYFUNCTION("AI(""Fill an appropriate value for this cell based on the table context"")"),"stubborn, recalcitrant, intractable")</f>
        <v>stubborn, recalcitrant, intractable</v>
      </c>
      <c r="D446" s="5" t="str">
        <f ca="1">IFERROR(__xludf.DUMMYFUNCTION("AI(""Fill an appropriate value for this cell based on the table context"")"),"The refractory student refused to obey the teacher's instructions.")</f>
        <v>The refractory student refused to obey the teacher's instructions.</v>
      </c>
      <c r="E446" s="5"/>
      <c r="F446" s="5"/>
      <c r="G446" s="5"/>
      <c r="H446" s="5"/>
      <c r="I446" s="5"/>
      <c r="J446" s="5"/>
      <c r="K446" s="5"/>
      <c r="L446" s="5"/>
      <c r="M446" s="5"/>
      <c r="N446" s="5"/>
      <c r="O446" s="5"/>
      <c r="P446" s="5"/>
      <c r="Q446" s="5"/>
      <c r="R446" s="5"/>
      <c r="S446" s="5"/>
      <c r="T446" s="5"/>
      <c r="U446" s="5"/>
      <c r="V446" s="5"/>
      <c r="W446" s="5"/>
      <c r="X446" s="5"/>
      <c r="Y446" s="5"/>
      <c r="Z446" s="5"/>
    </row>
    <row r="447" spans="1:26" ht="12.5" x14ac:dyDescent="0.25">
      <c r="A447" s="5" t="s">
        <v>909</v>
      </c>
      <c r="B447" s="5" t="str">
        <f ca="1">IFERROR(__xludf.DUMMYFUNCTION("AI(""Fill an appropriate value for this cell based on the table context"")"),"not revealing one's thoughts or feelings readily; reserved or uncommunicative")</f>
        <v>not revealing one's thoughts or feelings readily; reserved or uncommunicative</v>
      </c>
      <c r="C447" s="5" t="str">
        <f ca="1">IFERROR(__xludf.DUMMYFUNCTION("AI(""Fill an appropriate value for this cell based on the table context"")"),"reserved, taciturn, silent")</f>
        <v>reserved, taciturn, silent</v>
      </c>
      <c r="D447" s="5" t="str">
        <f ca="1">IFERROR(__xludf.DUMMYFUNCTION("AI(""Fill an appropriate value for this cell based on the table context"")"),"She was reticent about sharing her personal life with her colleagues.")</f>
        <v>She was reticent about sharing her personal life with her colleagues.</v>
      </c>
      <c r="E447" s="5"/>
      <c r="F447" s="5"/>
      <c r="G447" s="5"/>
      <c r="H447" s="5"/>
      <c r="I447" s="5"/>
      <c r="J447" s="5"/>
      <c r="K447" s="5"/>
      <c r="L447" s="5"/>
      <c r="M447" s="5"/>
      <c r="N447" s="5"/>
      <c r="O447" s="5"/>
      <c r="P447" s="5"/>
      <c r="Q447" s="5"/>
      <c r="R447" s="5"/>
      <c r="S447" s="5"/>
      <c r="T447" s="5"/>
      <c r="U447" s="5"/>
      <c r="V447" s="5"/>
      <c r="W447" s="5"/>
      <c r="X447" s="5"/>
      <c r="Y447" s="5"/>
      <c r="Z447" s="5"/>
    </row>
    <row r="448" spans="1:26" ht="12.5" x14ac:dyDescent="0.25">
      <c r="A448" s="5" t="s">
        <v>910</v>
      </c>
      <c r="B448" s="5" t="str">
        <f ca="1">IFERROR(__xludf.DUMMYFUNCTION("AI(""Fill an appropriate value for this cell based on the table context"")"),"equivalent in value, effect, or significance; virtually the same as")</f>
        <v>equivalent in value, effect, or significance; virtually the same as</v>
      </c>
      <c r="C448" s="5" t="str">
        <f ca="1">IFERROR(__xludf.DUMMYFUNCTION("AI(""Fill an appropriate value for this cell based on the table context"")"),"equivalent, equal, commensurate")</f>
        <v>equivalent, equal, commensurate</v>
      </c>
      <c r="D448" s="5" t="str">
        <f ca="1">IFERROR(__xludf.DUMMYFUNCTION("AI(""Fill an appropriate value for this cell based on the table context"")"),"His refusal to answer the question was tantamount to an admission of guilt.")</f>
        <v>His refusal to answer the question was tantamount to an admission of guilt.</v>
      </c>
      <c r="E448" s="5"/>
      <c r="F448" s="5"/>
      <c r="G448" s="5"/>
      <c r="H448" s="5"/>
      <c r="I448" s="5"/>
      <c r="J448" s="5"/>
      <c r="K448" s="5"/>
      <c r="L448" s="5"/>
      <c r="M448" s="5"/>
      <c r="N448" s="5"/>
      <c r="O448" s="5"/>
      <c r="P448" s="5"/>
      <c r="Q448" s="5"/>
      <c r="R448" s="5"/>
      <c r="S448" s="5"/>
      <c r="T448" s="5"/>
      <c r="U448" s="5"/>
      <c r="V448" s="5"/>
      <c r="W448" s="5"/>
      <c r="X448" s="5"/>
      <c r="Y448" s="5"/>
      <c r="Z448" s="5"/>
    </row>
    <row r="449" spans="1:26" ht="12.5" x14ac:dyDescent="0.25">
      <c r="A449" s="5" t="s">
        <v>911</v>
      </c>
      <c r="B449" s="5" t="str">
        <f ca="1">IFERROR(__xludf.DUMMYFUNCTION("AI(""Fill an appropriate value for this cell based on the table context"")"),"a person of great or varied learning in many different subjects")</f>
        <v>a person of great or varied learning in many different subjects</v>
      </c>
      <c r="C449" s="5" t="str">
        <f ca="1">IFERROR(__xludf.DUMMYFUNCTION("AI(""Fill an appropriate value for this cell based on the table context"")"),"savant, scholar, intellectual")</f>
        <v>savant, scholar, intellectual</v>
      </c>
      <c r="D449" s="5" t="str">
        <f ca="1">IFERROR(__xludf.DUMMYFUNCTION("AI(""Fill an appropriate value for this cell based on the table context"")"),"Leonardo da Vinci was a true polymath, excelling as an artist, inventor, scientist, and mathematician.")</f>
        <v>Leonardo da Vinci was a true polymath, excelling as an artist, inventor, scientist, and mathematician.</v>
      </c>
      <c r="E449" s="5"/>
      <c r="F449" s="5"/>
      <c r="G449" s="5"/>
      <c r="H449" s="5"/>
      <c r="I449" s="5"/>
      <c r="J449" s="5"/>
      <c r="K449" s="5"/>
      <c r="L449" s="5"/>
      <c r="M449" s="5"/>
      <c r="N449" s="5"/>
      <c r="O449" s="5"/>
      <c r="P449" s="5"/>
      <c r="Q449" s="5"/>
      <c r="R449" s="5"/>
      <c r="S449" s="5"/>
      <c r="T449" s="5"/>
      <c r="U449" s="5"/>
      <c r="V449" s="5"/>
      <c r="W449" s="5"/>
      <c r="X449" s="5"/>
      <c r="Y449" s="5"/>
      <c r="Z449" s="5"/>
    </row>
    <row r="450" spans="1:26" ht="12.5" x14ac:dyDescent="0.25">
      <c r="A450" s="5" t="s">
        <v>912</v>
      </c>
      <c r="B450" s="5" t="str">
        <f ca="1">IFERROR(__xludf.DUMMYFUNCTION("AI(""Fill an appropriate value for this cell based on the table context"")"),"pleasant mental or physical tiredness or lack of energy")</f>
        <v>pleasant mental or physical tiredness or lack of energy</v>
      </c>
      <c r="C450" s="5" t="str">
        <f ca="1">IFERROR(__xludf.DUMMYFUNCTION("AI(""Fill an appropriate value for this cell based on the table context"")"),"lassitude, lethargy, torpor")</f>
        <v>lassitude, lethargy, torpor</v>
      </c>
      <c r="D450" s="5" t="str">
        <f ca="1">IFERROR(__xludf.DUMMYFUNCTION("AI(""Fill an appropriate value for this cell based on the table context"")"),"They enjoyed the languor brought on by a hot summer afternoon.")</f>
        <v>They enjoyed the languor brought on by a hot summer afternoon.</v>
      </c>
      <c r="E450" s="5"/>
      <c r="F450" s="5"/>
      <c r="G450" s="5"/>
      <c r="H450" s="5"/>
      <c r="I450" s="5"/>
      <c r="J450" s="5"/>
      <c r="K450" s="5"/>
      <c r="L450" s="5"/>
      <c r="M450" s="5"/>
      <c r="N450" s="5"/>
      <c r="O450" s="5"/>
      <c r="P450" s="5"/>
      <c r="Q450" s="5"/>
      <c r="R450" s="5"/>
      <c r="S450" s="5"/>
      <c r="T450" s="5"/>
      <c r="U450" s="5"/>
      <c r="V450" s="5"/>
      <c r="W450" s="5"/>
      <c r="X450" s="5"/>
      <c r="Y450" s="5"/>
      <c r="Z450" s="5"/>
    </row>
    <row r="451" spans="1:26" ht="12.5" x14ac:dyDescent="0.25">
      <c r="A451" s="5" t="s">
        <v>913</v>
      </c>
      <c r="B451" s="5" t="str">
        <f ca="1">IFERROR(__xludf.DUMMYFUNCTION("AI(""Fill an appropriate value for this cell based on the table context"")"),"a person of profound or extensive learning; a learned scholar")</f>
        <v>a person of profound or extensive learning; a learned scholar</v>
      </c>
      <c r="C451" s="5" t="str">
        <f ca="1">IFERROR(__xludf.DUMMYFUNCTION("AI(""Fill an appropriate value for this cell based on the table context"")"),"scholar, sage, intellectual")</f>
        <v>scholar, sage, intellectual</v>
      </c>
      <c r="D451" s="5" t="str">
        <f ca="1">IFERROR(__xludf.DUMMYFUNCTION("AI(""Fill an appropriate value for this cell based on the table context"")"),"She was considered a mathematical savant, able to solve complex equations in seconds.")</f>
        <v>She was considered a mathematical savant, able to solve complex equations in seconds.</v>
      </c>
      <c r="E451" s="5"/>
      <c r="F451" s="5"/>
      <c r="G451" s="5"/>
      <c r="H451" s="5"/>
      <c r="I451" s="5"/>
      <c r="J451" s="5"/>
      <c r="K451" s="5"/>
      <c r="L451" s="5"/>
      <c r="M451" s="5"/>
      <c r="N451" s="5"/>
      <c r="O451" s="5"/>
      <c r="P451" s="5"/>
      <c r="Q451" s="5"/>
      <c r="R451" s="5"/>
      <c r="S451" s="5"/>
      <c r="T451" s="5"/>
      <c r="U451" s="5"/>
      <c r="V451" s="5"/>
      <c r="W451" s="5"/>
      <c r="X451" s="5"/>
      <c r="Y451" s="5"/>
      <c r="Z451" s="5"/>
    </row>
    <row r="452" spans="1:26" ht="12.5" x14ac:dyDescent="0.25">
      <c r="A452" s="5" t="s">
        <v>914</v>
      </c>
      <c r="B452" s="5" t="str">
        <f ca="1">IFERROR(__xludf.DUMMYFUNCTION("AI(""Fill an appropriate value for this cell based on the table context"")"),"physical or mental tiredness; lack of energy")</f>
        <v>physical or mental tiredness; lack of energy</v>
      </c>
      <c r="C452" s="5" t="str">
        <f ca="1">IFERROR(__xludf.DUMMYFUNCTION("AI(""Fill an appropriate value for this cell based on the table context"")"),"lethargy, languor, weariness")</f>
        <v>lethargy, languor, weariness</v>
      </c>
      <c r="D452" s="5" t="str">
        <f ca="1">IFERROR(__xludf.DUMMYFUNCTION("AI(""Fill an appropriate value for this cell based on the table context"")"),"After the long race, Jack experienced a feeling of lassitude.")</f>
        <v>After the long race, Jack experienced a feeling of lassitude.</v>
      </c>
      <c r="E452" s="5"/>
      <c r="F452" s="5"/>
      <c r="G452" s="5"/>
      <c r="H452" s="5"/>
      <c r="I452" s="5"/>
      <c r="J452" s="5"/>
      <c r="K452" s="5"/>
      <c r="L452" s="5"/>
      <c r="M452" s="5"/>
      <c r="N452" s="5"/>
      <c r="O452" s="5"/>
      <c r="P452" s="5"/>
      <c r="Q452" s="5"/>
      <c r="R452" s="5"/>
      <c r="S452" s="5"/>
      <c r="T452" s="5"/>
      <c r="U452" s="5"/>
      <c r="V452" s="5"/>
      <c r="W452" s="5"/>
      <c r="X452" s="5"/>
      <c r="Y452" s="5"/>
      <c r="Z452" s="5"/>
    </row>
    <row r="453" spans="1:26" ht="12.5" x14ac:dyDescent="0.25">
      <c r="A453" s="5" t="s">
        <v>915</v>
      </c>
      <c r="B453" s="5" t="str">
        <f ca="1">IFERROR(__xludf.DUMMYFUNCTION("AI(""Fill an appropriate value for this cell based on the table context"")"),"offense, resentment, or displeasure")</f>
        <v>offense, resentment, or displeasure</v>
      </c>
      <c r="C453" s="5" t="str">
        <f ca="1">IFERROR(__xludf.DUMMYFUNCTION("AI(""Fill an appropriate value for this cell based on the table context"")"),"offense, resentment, pique")</f>
        <v>offense, resentment, pique</v>
      </c>
      <c r="D453" s="5" t="str">
        <f ca="1">IFERROR(__xludf.DUMMYFUNCTION("AI(""Fill an appropriate value for this cell based on the table context"")"),"She took umbrage at his sarcastic remarks during the meeting.")</f>
        <v>She took umbrage at his sarcastic remarks during the meeting.</v>
      </c>
      <c r="E453" s="5"/>
      <c r="F453" s="5"/>
      <c r="G453" s="5"/>
      <c r="H453" s="5"/>
      <c r="I453" s="5"/>
      <c r="J453" s="5"/>
      <c r="K453" s="5"/>
      <c r="L453" s="5"/>
      <c r="M453" s="5"/>
      <c r="N453" s="5"/>
      <c r="O453" s="5"/>
      <c r="P453" s="5"/>
      <c r="Q453" s="5"/>
      <c r="R453" s="5"/>
      <c r="S453" s="5"/>
      <c r="T453" s="5"/>
      <c r="U453" s="5"/>
      <c r="V453" s="5"/>
      <c r="W453" s="5"/>
      <c r="X453" s="5"/>
      <c r="Y453" s="5"/>
      <c r="Z453" s="5"/>
    </row>
    <row r="454" spans="1:26" ht="12.5" x14ac:dyDescent="0.25">
      <c r="A454" s="5" t="s">
        <v>916</v>
      </c>
      <c r="B454" s="5" t="str">
        <f ca="1">IFERROR(__xludf.DUMMYFUNCTION("AI(""Fill an appropriate value for this cell based on the table context"")"),"strong liking, preference, or predisposition for something")</f>
        <v>strong liking, preference, or predisposition for something</v>
      </c>
      <c r="C454" s="5" t="str">
        <f ca="1">IFERROR(__xludf.DUMMYFUNCTION("AI(""Fill an appropriate value for this cell based on the table context"")"),"penchant, fondness, inclination")</f>
        <v>penchant, fondness, inclination</v>
      </c>
      <c r="D454" s="5" t="str">
        <f ca="1">IFERROR(__xludf.DUMMYFUNCTION("AI(""Fill an appropriate value for this cell based on the table context"")"),"She has a predilection for classical music, often spending her evenings listening to symphonies.")</f>
        <v>She has a predilection for classical music, often spending her evenings listening to symphonies.</v>
      </c>
      <c r="E454" s="5"/>
      <c r="F454" s="5"/>
      <c r="G454" s="5"/>
      <c r="H454" s="5"/>
      <c r="I454" s="5"/>
      <c r="J454" s="5"/>
      <c r="K454" s="5"/>
      <c r="L454" s="5"/>
      <c r="M454" s="5"/>
      <c r="N454" s="5"/>
      <c r="O454" s="5"/>
      <c r="P454" s="5"/>
      <c r="Q454" s="5"/>
      <c r="R454" s="5"/>
      <c r="S454" s="5"/>
      <c r="T454" s="5"/>
      <c r="U454" s="5"/>
      <c r="V454" s="5"/>
      <c r="W454" s="5"/>
      <c r="X454" s="5"/>
      <c r="Y454" s="5"/>
      <c r="Z454" s="5"/>
    </row>
    <row r="455" spans="1:26" ht="12.5" x14ac:dyDescent="0.25">
      <c r="A455" s="5" t="s">
        <v>917</v>
      </c>
      <c r="B455" s="5" t="str">
        <f ca="1">IFERROR(__xludf.DUMMYFUNCTION("AI(""Fill an appropriate value for this cell based on the table context"")"),"arouse interest or curiosity; cause to feel resentment or irritation")</f>
        <v>arouse interest or curiosity; cause to feel resentment or irritation</v>
      </c>
      <c r="C455" s="5" t="str">
        <f ca="1">IFERROR(__xludf.DUMMYFUNCTION("AI(""Fill an appropriate value for this cell based on the table context"")"),"irritate, offend, provoke")</f>
        <v>irritate, offend, provoke</v>
      </c>
      <c r="D455" s="5" t="str">
        <f ca="1">IFERROR(__xludf.DUMMYFUNCTION("AI(""Fill an appropriate value for this cell based on the table context"")"),"The mysterious message served to pique her curiosity.")</f>
        <v>The mysterious message served to pique her curiosity.</v>
      </c>
      <c r="E455" s="5"/>
      <c r="F455" s="5"/>
      <c r="G455" s="5"/>
      <c r="H455" s="5"/>
      <c r="I455" s="5"/>
      <c r="J455" s="5"/>
      <c r="K455" s="5"/>
      <c r="L455" s="5"/>
      <c r="M455" s="5"/>
      <c r="N455" s="5"/>
      <c r="O455" s="5"/>
      <c r="P455" s="5"/>
      <c r="Q455" s="5"/>
      <c r="R455" s="5"/>
      <c r="S455" s="5"/>
      <c r="T455" s="5"/>
      <c r="U455" s="5"/>
      <c r="V455" s="5"/>
      <c r="W455" s="5"/>
      <c r="X455" s="5"/>
      <c r="Y455" s="5"/>
      <c r="Z455" s="5"/>
    </row>
    <row r="456" spans="1:26" ht="12.5" x14ac:dyDescent="0.25">
      <c r="A456" s="5" t="s">
        <v>918</v>
      </c>
      <c r="B456" s="5" t="str">
        <f ca="1">IFERROR(__xludf.DUMMYFUNCTION("AI(""Fill an appropriate value for this cell based on the table context"")"),"full of energy, excitement, and enthusiasm")</f>
        <v>full of energy, excitement, and enthusiasm</v>
      </c>
      <c r="C456" s="5" t="str">
        <f ca="1">IFERROR(__xludf.DUMMYFUNCTION("AI(""Fill an appropriate value for this cell based on the table context"")"),"ebullient, high-spirited, enthusiastic")</f>
        <v>ebullient, high-spirited, enthusiastic</v>
      </c>
      <c r="D456" s="5" t="str">
        <f ca="1">IFERROR(__xludf.DUMMYFUNCTION("AI(""Fill an appropriate value for this cell based on the table context"")"),"The crowd gave an exuberant cheer as the team scored the winning goal.")</f>
        <v>The crowd gave an exuberant cheer as the team scored the winning goal.</v>
      </c>
      <c r="E456" s="5"/>
      <c r="F456" s="5"/>
      <c r="G456" s="5"/>
      <c r="H456" s="5"/>
      <c r="I456" s="5"/>
      <c r="J456" s="5"/>
      <c r="K456" s="5"/>
      <c r="L456" s="5"/>
      <c r="M456" s="5"/>
      <c r="N456" s="5"/>
      <c r="O456" s="5"/>
      <c r="P456" s="5"/>
      <c r="Q456" s="5"/>
      <c r="R456" s="5"/>
      <c r="S456" s="5"/>
      <c r="T456" s="5"/>
      <c r="U456" s="5"/>
      <c r="V456" s="5"/>
      <c r="W456" s="5"/>
      <c r="X456" s="5"/>
      <c r="Y456" s="5"/>
      <c r="Z456" s="5"/>
    </row>
    <row r="457" spans="1:26" ht="12.5" x14ac:dyDescent="0.25">
      <c r="A457" s="5" t="s">
        <v>919</v>
      </c>
      <c r="B457" s="5" t="str">
        <f ca="1">IFERROR(__xludf.DUMMYFUNCTION("AI(""Fill an appropriate value for this cell based on the table context"")"),"criticizing or attacking cherished beliefs or established traditions")</f>
        <v>criticizing or attacking cherished beliefs or established traditions</v>
      </c>
      <c r="C457" s="5" t="str">
        <f ca="1">IFERROR(__xludf.DUMMYFUNCTION("AI(""Fill an appropriate value for this cell based on the table context"")"),"rebellious, heretical, nonconformist")</f>
        <v>rebellious, heretical, nonconformist</v>
      </c>
      <c r="D457" s="5" t="str">
        <f ca="1">IFERROR(__xludf.DUMMYFUNCTION("AI(""Fill an appropriate value for this cell based on the table context"")"),"His iconoclastic approach to art broke long-standing rules and traditions.")</f>
        <v>His iconoclastic approach to art broke long-standing rules and traditions.</v>
      </c>
      <c r="E457" s="5"/>
      <c r="F457" s="5"/>
      <c r="G457" s="5"/>
      <c r="H457" s="5"/>
      <c r="I457" s="5"/>
      <c r="J457" s="5"/>
      <c r="K457" s="5"/>
      <c r="L457" s="5"/>
      <c r="M457" s="5"/>
      <c r="N457" s="5"/>
      <c r="O457" s="5"/>
      <c r="P457" s="5"/>
      <c r="Q457" s="5"/>
      <c r="R457" s="5"/>
      <c r="S457" s="5"/>
      <c r="T457" s="5"/>
      <c r="U457" s="5"/>
      <c r="V457" s="5"/>
      <c r="W457" s="5"/>
      <c r="X457" s="5"/>
      <c r="Y457" s="5"/>
      <c r="Z457" s="5"/>
    </row>
    <row r="458" spans="1:26" ht="12.5" x14ac:dyDescent="0.25">
      <c r="A458" s="5" t="s">
        <v>920</v>
      </c>
      <c r="B458" s="5" t="str">
        <f ca="1">IFERROR(__xludf.DUMMYFUNCTION("AI(""Fill an appropriate value for this cell based on the table context"")"),"enclose or confine someone against their will; imprison")</f>
        <v>enclose or confine someone against their will; imprison</v>
      </c>
      <c r="C458" s="5" t="str">
        <f ca="1">IFERROR(__xludf.DUMMYFUNCTION("AI(""Fill an appropriate value for this cell based on the table context"")"),"imprison, confine, cloister")</f>
        <v>imprison, confine, cloister</v>
      </c>
      <c r="D458" s="5" t="str">
        <f ca="1">IFERROR(__xludf.DUMMYFUNCTION("AI(""Fill an appropriate value for this cell based on the table context"")"),"The princess was immured in the castle tower.")</f>
        <v>The princess was immured in the castle tower.</v>
      </c>
      <c r="E458" s="5"/>
      <c r="F458" s="5"/>
      <c r="G458" s="5"/>
      <c r="H458" s="5"/>
      <c r="I458" s="5"/>
      <c r="J458" s="5"/>
      <c r="K458" s="5"/>
      <c r="L458" s="5"/>
      <c r="M458" s="5"/>
      <c r="N458" s="5"/>
      <c r="O458" s="5"/>
      <c r="P458" s="5"/>
      <c r="Q458" s="5"/>
      <c r="R458" s="5"/>
      <c r="S458" s="5"/>
      <c r="T458" s="5"/>
      <c r="U458" s="5"/>
      <c r="V458" s="5"/>
      <c r="W458" s="5"/>
      <c r="X458" s="5"/>
      <c r="Y458" s="5"/>
      <c r="Z458" s="5"/>
    </row>
    <row r="459" spans="1:26" ht="12.5" x14ac:dyDescent="0.25">
      <c r="A459" s="5" t="s">
        <v>921</v>
      </c>
      <c r="B459" s="5" t="str">
        <f ca="1">IFERROR(__xludf.DUMMYFUNCTION("AI(""Fill an appropriate value for this cell based on the table context"")"),"seclude or isolate from the world; a covered walkway in a monastery or convent")</f>
        <v>seclude or isolate from the world; a covered walkway in a monastery or convent</v>
      </c>
      <c r="C459" s="5" t="str">
        <f ca="1">IFERROR(__xludf.DUMMYFUNCTION("AI(""Fill an appropriate value for this cell based on the table context"")"),"monastery, abbey, convent")</f>
        <v>monastery, abbey, convent</v>
      </c>
      <c r="D459" s="5" t="str">
        <f ca="1">IFERROR(__xludf.DUMMYFUNCTION("AI(""Fill an appropriate value for this cell based on the table context"")"),"After his wife's death, he made the decision to cloister himself away from the world.")</f>
        <v>After his wife's death, he made the decision to cloister himself away from the world.</v>
      </c>
      <c r="E459" s="5"/>
      <c r="F459" s="5"/>
      <c r="G459" s="5"/>
      <c r="H459" s="5"/>
      <c r="I459" s="5"/>
      <c r="J459" s="5"/>
      <c r="K459" s="5"/>
      <c r="L459" s="5"/>
      <c r="M459" s="5"/>
      <c r="N459" s="5"/>
      <c r="O459" s="5"/>
      <c r="P459" s="5"/>
      <c r="Q459" s="5"/>
      <c r="R459" s="5"/>
      <c r="S459" s="5"/>
      <c r="T459" s="5"/>
      <c r="U459" s="5"/>
      <c r="V459" s="5"/>
      <c r="W459" s="5"/>
      <c r="X459" s="5"/>
      <c r="Y459" s="5"/>
      <c r="Z459" s="5"/>
    </row>
    <row r="460" spans="1:26" ht="25" x14ac:dyDescent="0.25">
      <c r="A460" s="5" t="s">
        <v>922</v>
      </c>
      <c r="B460" s="5" t="str">
        <f ca="1">IFERROR(__xludf.DUMMYFUNCTION("AI(""Fill an appropriate value for this cell based on the table context"")"),"lacking character or strength; incompetent and irresponsible")</f>
        <v>lacking character or strength; incompetent and irresponsible</v>
      </c>
      <c r="C460" s="5" t="str">
        <f ca="1">IFERROR(__xludf.DUMMYFUNCTION("AI(""Fill an appropriate value for this cell based on the table context"")"),"irresponsible, incompetent, ineffectual")</f>
        <v>irresponsible, incompetent, ineffectual</v>
      </c>
      <c r="D460" s="5" t="str">
        <f ca="1">IFERROR(__xludf.DUMMYFUNCTION("AI(""Fill an appropriate value for this cell based on the table context"")"),"His feckless management style led to the eventual collapse of the company.")</f>
        <v>His feckless management style led to the eventual collapse of the company.</v>
      </c>
      <c r="E460" s="5"/>
      <c r="F460" s="5"/>
      <c r="G460" s="5"/>
      <c r="H460" s="5"/>
      <c r="I460" s="5"/>
      <c r="J460" s="5"/>
      <c r="K460" s="5"/>
      <c r="L460" s="5"/>
      <c r="M460" s="5"/>
      <c r="N460" s="5"/>
      <c r="O460" s="5"/>
      <c r="P460" s="5"/>
      <c r="Q460" s="5"/>
      <c r="R460" s="5"/>
      <c r="S460" s="5"/>
      <c r="T460" s="5"/>
      <c r="U460" s="5"/>
      <c r="V460" s="5"/>
      <c r="W460" s="5"/>
      <c r="X460" s="5"/>
      <c r="Y460" s="5"/>
      <c r="Z460" s="5"/>
    </row>
    <row r="461" spans="1:26" ht="12.5" x14ac:dyDescent="0.25">
      <c r="A461" s="5" t="s">
        <v>923</v>
      </c>
      <c r="B461" s="5" t="str">
        <f ca="1">IFERROR(__xludf.DUMMYFUNCTION("AI(""Fill an appropriate value for this cell based on the table context"")"),"Summarize and repeat the main points of something")</f>
        <v>Summarize and repeat the main points of something</v>
      </c>
      <c r="C461" s="5" t="str">
        <f ca="1">IFERROR(__xludf.DUMMYFUNCTION("AI(""Fill an appropriate value for this cell based on the table context"")"),"summarize, restate, recap")</f>
        <v>summarize, restate, recap</v>
      </c>
      <c r="D461" s="5" t="str">
        <f ca="1">IFERROR(__xludf.DUMMYFUNCTION("AI(""Fill an appropriate value for this cell based on the table context"")"),"At the end of the lecture, the professor briefly recapitulated the main points.")</f>
        <v>At the end of the lecture, the professor briefly recapitulated the main points.</v>
      </c>
      <c r="E461" s="5"/>
      <c r="F461" s="5"/>
      <c r="G461" s="5"/>
      <c r="H461" s="5"/>
      <c r="I461" s="5"/>
      <c r="J461" s="5"/>
      <c r="K461" s="5"/>
      <c r="L461" s="5"/>
      <c r="M461" s="5"/>
      <c r="N461" s="5"/>
      <c r="O461" s="5"/>
      <c r="P461" s="5"/>
      <c r="Q461" s="5"/>
      <c r="R461" s="5"/>
      <c r="S461" s="5"/>
      <c r="T461" s="5"/>
      <c r="U461" s="5"/>
      <c r="V461" s="5"/>
      <c r="W461" s="5"/>
      <c r="X461" s="5"/>
      <c r="Y461" s="5"/>
      <c r="Z461" s="5"/>
    </row>
    <row r="462" spans="1:26" ht="12.5" x14ac:dyDescent="0.25">
      <c r="A462" s="5" t="s">
        <v>924</v>
      </c>
      <c r="B462" s="5" t="str">
        <f ca="1">IFERROR(__xludf.DUMMYFUNCTION("AI(""Fill an appropriate value for this cell based on the table context"")"),"Be a perfect example of something")</f>
        <v>Be a perfect example of something</v>
      </c>
      <c r="C462" s="5" t="str">
        <f ca="1">IFERROR(__xludf.DUMMYFUNCTION("AI(""Fill an appropriate value for this cell based on the table context"")"),"embody, typify, exemplify")</f>
        <v>embody, typify, exemplify</v>
      </c>
      <c r="D462" s="5" t="str">
        <f ca="1">IFERROR(__xludf.DUMMYFUNCTION("AI(""Fill an appropriate value for this cell based on the table context"")"),"Her dedication and hard work epitomize the qualities of a great leader.")</f>
        <v>Her dedication and hard work epitomize the qualities of a great leader.</v>
      </c>
      <c r="E462" s="5"/>
      <c r="F462" s="5"/>
      <c r="G462" s="5"/>
      <c r="H462" s="5"/>
      <c r="I462" s="5"/>
      <c r="J462" s="5"/>
      <c r="K462" s="5"/>
      <c r="L462" s="5"/>
      <c r="M462" s="5"/>
      <c r="N462" s="5"/>
      <c r="O462" s="5"/>
      <c r="P462" s="5"/>
      <c r="Q462" s="5"/>
      <c r="R462" s="5"/>
      <c r="S462" s="5"/>
      <c r="T462" s="5"/>
      <c r="U462" s="5"/>
      <c r="V462" s="5"/>
      <c r="W462" s="5"/>
      <c r="X462" s="5"/>
      <c r="Y462" s="5"/>
      <c r="Z462" s="5"/>
    </row>
    <row r="463" spans="1:26" ht="12.5" x14ac:dyDescent="0.25">
      <c r="A463" s="5" t="s">
        <v>925</v>
      </c>
      <c r="B463" s="5" t="str">
        <f ca="1">IFERROR(__xludf.DUMMYFUNCTION("AI(""Fill an appropriate value for this cell based on the table context"")"),"Mention or list a number of things one by one")</f>
        <v>Mention or list a number of things one by one</v>
      </c>
      <c r="C463" s="5" t="str">
        <f ca="1">IFERROR(__xludf.DUMMYFUNCTION("AI(""Fill an appropriate value for this cell based on the table context"")"),"list, itemize, detail")</f>
        <v>list, itemize, detail</v>
      </c>
      <c r="D463" s="5" t="str">
        <f ca="1">IFERROR(__xludf.DUMMYFUNCTION("AI(""Fill an appropriate value for this cell based on the table context"")"),"The report enumerates the various challenges facing the company today.")</f>
        <v>The report enumerates the various challenges facing the company today.</v>
      </c>
      <c r="E463" s="5"/>
      <c r="F463" s="5"/>
      <c r="G463" s="5"/>
      <c r="H463" s="5"/>
      <c r="I463" s="5"/>
      <c r="J463" s="5"/>
      <c r="K463" s="5"/>
      <c r="L463" s="5"/>
      <c r="M463" s="5"/>
      <c r="N463" s="5"/>
      <c r="O463" s="5"/>
      <c r="P463" s="5"/>
      <c r="Q463" s="5"/>
      <c r="R463" s="5"/>
      <c r="S463" s="5"/>
      <c r="T463" s="5"/>
      <c r="U463" s="5"/>
      <c r="V463" s="5"/>
      <c r="W463" s="5"/>
      <c r="X463" s="5"/>
      <c r="Y463" s="5"/>
      <c r="Z463" s="5"/>
    </row>
    <row r="464" spans="1:26" ht="12.5" x14ac:dyDescent="0.25">
      <c r="A464" s="5" t="s">
        <v>926</v>
      </c>
      <c r="B464" s="5" t="str">
        <f ca="1">IFERROR(__xludf.DUMMYFUNCTION("AI(""Fill an appropriate value for this cell based on the table context"")"),"Win or regain the favor of someone")</f>
        <v>Win or regain the favor of someone</v>
      </c>
      <c r="C464" s="5" t="str">
        <f ca="1">IFERROR(__xludf.DUMMYFUNCTION("AI(""Fill an appropriate value for this cell based on the table context"")"),"appease, placate, conciliate")</f>
        <v>appease, placate, conciliate</v>
      </c>
      <c r="D464" s="5" t="str">
        <f ca="1">IFERROR(__xludf.DUMMYFUNCTION("AI(""Fill an appropriate value for this cell based on the table context"")"),"The villagers offered gifts to propitiate the angry gods.")</f>
        <v>The villagers offered gifts to propitiate the angry gods.</v>
      </c>
      <c r="E464" s="5"/>
      <c r="F464" s="5"/>
      <c r="G464" s="5"/>
      <c r="H464" s="5"/>
      <c r="I464" s="5"/>
      <c r="J464" s="5"/>
      <c r="K464" s="5"/>
      <c r="L464" s="5"/>
      <c r="M464" s="5"/>
      <c r="N464" s="5"/>
      <c r="O464" s="5"/>
      <c r="P464" s="5"/>
      <c r="Q464" s="5"/>
      <c r="R464" s="5"/>
      <c r="S464" s="5"/>
      <c r="T464" s="5"/>
      <c r="U464" s="5"/>
      <c r="V464" s="5"/>
      <c r="W464" s="5"/>
      <c r="X464" s="5"/>
      <c r="Y464" s="5"/>
      <c r="Z464" s="5"/>
    </row>
    <row r="465" spans="1:26" ht="12.5" x14ac:dyDescent="0.25">
      <c r="A465" s="5" t="s">
        <v>927</v>
      </c>
      <c r="B465" s="5" t="str">
        <f ca="1">IFERROR(__xludf.DUMMYFUNCTION("AI(""Fill an appropriate value for this cell based on the table context"")"),"Be an early indication or version of something")</f>
        <v>Be an early indication or version of something</v>
      </c>
      <c r="C465" s="5" t="str">
        <f ca="1">IFERROR(__xludf.DUMMYFUNCTION("AI(""Fill an appropriate value for this cell based on the table context"")"),"foreshadow, presage, portend")</f>
        <v>foreshadow, presage, portend</v>
      </c>
      <c r="D465" s="5" t="str">
        <f ca="1">IFERROR(__xludf.DUMMYFUNCTION("AI(""Fill an appropriate value for this cell based on the table context"")"),"The dramatic rise in temperatures may prefigure a severe summer drought.")</f>
        <v>The dramatic rise in temperatures may prefigure a severe summer drought.</v>
      </c>
      <c r="E465" s="5"/>
      <c r="F465" s="5"/>
      <c r="G465" s="5"/>
      <c r="H465" s="5"/>
      <c r="I465" s="5"/>
      <c r="J465" s="5"/>
      <c r="K465" s="5"/>
      <c r="L465" s="5"/>
      <c r="M465" s="5"/>
      <c r="N465" s="5"/>
      <c r="O465" s="5"/>
      <c r="P465" s="5"/>
      <c r="Q465" s="5"/>
      <c r="R465" s="5"/>
      <c r="S465" s="5"/>
      <c r="T465" s="5"/>
      <c r="U465" s="5"/>
      <c r="V465" s="5"/>
      <c r="W465" s="5"/>
      <c r="X465" s="5"/>
      <c r="Y465" s="5"/>
      <c r="Z465" s="5"/>
    </row>
    <row r="466" spans="1:26" ht="12.5" x14ac:dyDescent="0.25">
      <c r="A466" s="5" t="s">
        <v>928</v>
      </c>
      <c r="B466" s="5" t="str">
        <f ca="1">IFERROR(__xludf.DUMMYFUNCTION("AI(""Fill an appropriate value for this cell based on the table context"")"),"Bitter, harsh, and abusive")</f>
        <v>Bitter, harsh, and abusive</v>
      </c>
      <c r="C466" s="5" t="str">
        <f ca="1">IFERROR(__xludf.DUMMYFUNCTION("AI(""Fill an appropriate value for this cell based on the table context"")"),"abusive, vitriolic, insulting")</f>
        <v>abusive, vitriolic, insulting</v>
      </c>
      <c r="D466" s="5" t="str">
        <f ca="1">IFERROR(__xludf.DUMMYFUNCTION("AI(""Fill an appropriate value for this cell based on the table context"")"),"The politician launched a vituperative attack against his opponent during the debate.")</f>
        <v>The politician launched a vituperative attack against his opponent during the debate.</v>
      </c>
      <c r="E466" s="5"/>
      <c r="F466" s="5"/>
      <c r="G466" s="5"/>
      <c r="H466" s="5"/>
      <c r="I466" s="5"/>
      <c r="J466" s="5"/>
      <c r="K466" s="5"/>
      <c r="L466" s="5"/>
      <c r="M466" s="5"/>
      <c r="N466" s="5"/>
      <c r="O466" s="5"/>
      <c r="P466" s="5"/>
      <c r="Q466" s="5"/>
      <c r="R466" s="5"/>
      <c r="S466" s="5"/>
      <c r="T466" s="5"/>
      <c r="U466" s="5"/>
      <c r="V466" s="5"/>
      <c r="W466" s="5"/>
      <c r="X466" s="5"/>
      <c r="Y466" s="5"/>
      <c r="Z466" s="5"/>
    </row>
    <row r="467" spans="1:26" ht="12.5" x14ac:dyDescent="0.25">
      <c r="A467" s="5" t="s">
        <v>929</v>
      </c>
      <c r="B467" s="5" t="str">
        <f ca="1">IFERROR(__xludf.DUMMYFUNCTION("AI(""Fill an appropriate value for this cell based on the table context"")"),"Demanding immediate action or attention")</f>
        <v>Demanding immediate action or attention</v>
      </c>
      <c r="C467" s="5" t="str">
        <f ca="1">IFERROR(__xludf.DUMMYFUNCTION("AI(""Fill an appropriate value for this cell based on the table context"")"),"pressing, urgent, demanding")</f>
        <v>pressing, urgent, demanding</v>
      </c>
      <c r="D467" s="5" t="str">
        <f ca="1">IFERROR(__xludf.DUMMYFUNCTION("AI(""Fill an appropriate value for this cell based on the table context"")"),"The exigent demands of the job left him with little time for sleep.")</f>
        <v>The exigent demands of the job left him with little time for sleep.</v>
      </c>
      <c r="E467" s="5"/>
      <c r="F467" s="5"/>
      <c r="G467" s="5"/>
      <c r="H467" s="5"/>
      <c r="I467" s="5"/>
      <c r="J467" s="5"/>
      <c r="K467" s="5"/>
      <c r="L467" s="5"/>
      <c r="M467" s="5"/>
      <c r="N467" s="5"/>
      <c r="O467" s="5"/>
      <c r="P467" s="5"/>
      <c r="Q467" s="5"/>
      <c r="R467" s="5"/>
      <c r="S467" s="5"/>
      <c r="T467" s="5"/>
      <c r="U467" s="5"/>
      <c r="V467" s="5"/>
      <c r="W467" s="5"/>
      <c r="X467" s="5"/>
      <c r="Y467" s="5"/>
      <c r="Z467" s="5"/>
    </row>
    <row r="468" spans="1:26" ht="12.5" x14ac:dyDescent="0.25">
      <c r="A468" s="5" t="s">
        <v>930</v>
      </c>
      <c r="B468" s="5" t="str">
        <f ca="1">IFERROR(__xludf.DUMMYFUNCTION("AI(""Fill an appropriate value for this cell based on the table context"")"),"An uncompromising advocate of a specific ideology")</f>
        <v>An uncompromising advocate of a specific ideology</v>
      </c>
      <c r="C468" s="5" t="str">
        <f ca="1">IFERROR(__xludf.DUMMYFUNCTION("AI(""Fill an appropriate value for this cell based on the table context"")"),"zealot, dogmatist, partisan")</f>
        <v>zealot, dogmatist, partisan</v>
      </c>
      <c r="D468" s="5" t="str">
        <f ca="1">IFERROR(__xludf.DUMMYFUNCTION("AI(""Fill an appropriate value for this cell based on the table context"")"),"As a rigid ideologue, she refused to compromise on her political beliefs.")</f>
        <v>As a rigid ideologue, she refused to compromise on her political beliefs.</v>
      </c>
      <c r="E468" s="5"/>
      <c r="F468" s="5"/>
      <c r="G468" s="5"/>
      <c r="H468" s="5"/>
      <c r="I468" s="5"/>
      <c r="J468" s="5"/>
      <c r="K468" s="5"/>
      <c r="L468" s="5"/>
      <c r="M468" s="5"/>
      <c r="N468" s="5"/>
      <c r="O468" s="5"/>
      <c r="P468" s="5"/>
      <c r="Q468" s="5"/>
      <c r="R468" s="5"/>
      <c r="S468" s="5"/>
      <c r="T468" s="5"/>
      <c r="U468" s="5"/>
      <c r="V468" s="5"/>
      <c r="W468" s="5"/>
      <c r="X468" s="5"/>
      <c r="Y468" s="5"/>
      <c r="Z468" s="5"/>
    </row>
    <row r="469" spans="1:26" ht="12.5" x14ac:dyDescent="0.25">
      <c r="A469" s="5" t="s">
        <v>931</v>
      </c>
      <c r="B469" s="5" t="str">
        <f ca="1">IFERROR(__xludf.DUMMYFUNCTION("AI(""Fill an appropriate value for this cell based on the table context"")"),"Foretell or predict a future event")</f>
        <v>Foretell or predict a future event</v>
      </c>
      <c r="C469" s="5" t="str">
        <f ca="1">IFERROR(__xludf.DUMMYFUNCTION("AI(""Fill an appropriate value for this cell based on the table context"")"),"predict, forecast, foretell")</f>
        <v>predict, forecast, foretell</v>
      </c>
      <c r="D469" s="5" t="str">
        <f ca="1">IFERROR(__xludf.DUMMYFUNCTION("AI(""Fill an appropriate value for this cell based on the table context"")"),"Economists attempt to prognosticate the market trends for the upcoming year.")</f>
        <v>Economists attempt to prognosticate the market trends for the upcoming year.</v>
      </c>
      <c r="E469" s="5"/>
      <c r="F469" s="5"/>
      <c r="G469" s="5"/>
      <c r="H469" s="5"/>
      <c r="I469" s="5"/>
      <c r="J469" s="5"/>
      <c r="K469" s="5"/>
      <c r="L469" s="5"/>
      <c r="M469" s="5"/>
      <c r="N469" s="5"/>
      <c r="O469" s="5"/>
      <c r="P469" s="5"/>
      <c r="Q469" s="5"/>
      <c r="R469" s="5"/>
      <c r="S469" s="5"/>
      <c r="T469" s="5"/>
      <c r="U469" s="5"/>
      <c r="V469" s="5"/>
      <c r="W469" s="5"/>
      <c r="X469" s="5"/>
      <c r="Y469" s="5"/>
      <c r="Z469" s="5"/>
    </row>
    <row r="470" spans="1:26" ht="12.5" x14ac:dyDescent="0.25">
      <c r="A470" s="5" t="s">
        <v>932</v>
      </c>
      <c r="B470" s="5" t="str">
        <f ca="1">IFERROR(__xludf.DUMMYFUNCTION("AI(""Fill an appropriate value for this cell based on the table context"")"),"Be a sign or warning of something to come")</f>
        <v>Be a sign or warning of something to come</v>
      </c>
      <c r="C470" s="5" t="str">
        <f ca="1">IFERROR(__xludf.DUMMYFUNCTION("AI(""Fill an appropriate value for this cell based on the table context"")"),"presage, portend, foreshadow")</f>
        <v>presage, portend, foreshadow</v>
      </c>
      <c r="D470" s="5" t="str">
        <f ca="1">IFERROR(__xludf.DUMMYFUNCTION("AI(""Fill an appropriate value for this cell based on the table context"")"),"Dark clouds rolling in usually foretoken a coming storm.")</f>
        <v>Dark clouds rolling in usually foretoken a coming storm.</v>
      </c>
      <c r="E470" s="5"/>
      <c r="F470" s="5"/>
      <c r="G470" s="5"/>
      <c r="H470" s="5"/>
      <c r="I470" s="5"/>
      <c r="J470" s="5"/>
      <c r="K470" s="5"/>
      <c r="L470" s="5"/>
      <c r="M470" s="5"/>
      <c r="N470" s="5"/>
      <c r="O470" s="5"/>
      <c r="P470" s="5"/>
      <c r="Q470" s="5"/>
      <c r="R470" s="5"/>
      <c r="S470" s="5"/>
      <c r="T470" s="5"/>
      <c r="U470" s="5"/>
      <c r="V470" s="5"/>
      <c r="W470" s="5"/>
      <c r="X470" s="5"/>
      <c r="Y470" s="5"/>
      <c r="Z470" s="5"/>
    </row>
    <row r="471" spans="1:26" ht="12.5" x14ac:dyDescent="0.25">
      <c r="A471" s="5" t="s">
        <v>933</v>
      </c>
      <c r="B471" s="5" t="str">
        <f ca="1">IFERROR(__xludf.DUMMYFUNCTION("AI(""Fill an appropriate value for this cell based on the table context"")"),"Praise highly in speech or writing")</f>
        <v>Praise highly in speech or writing</v>
      </c>
      <c r="C471" s="5" t="str">
        <f ca="1">IFERROR(__xludf.DUMMYFUNCTION("AI(""Fill an appropriate value for this cell based on the table context"")"),"praise, extol, applaud")</f>
        <v>praise, extol, applaud</v>
      </c>
      <c r="D471" s="5" t="str">
        <f ca="1">IFERROR(__xludf.DUMMYFUNCTION("AI(""Fill an appropriate value for this cell based on the table context"")"),"Friends gathered to eulogize the beloved local community leader.")</f>
        <v>Friends gathered to eulogize the beloved local community leader.</v>
      </c>
      <c r="E471" s="5"/>
      <c r="F471" s="5"/>
      <c r="G471" s="5"/>
      <c r="H471" s="5"/>
      <c r="I471" s="5"/>
      <c r="J471" s="5"/>
      <c r="K471" s="5"/>
      <c r="L471" s="5"/>
      <c r="M471" s="5"/>
      <c r="N471" s="5"/>
      <c r="O471" s="5"/>
      <c r="P471" s="5"/>
      <c r="Q471" s="5"/>
      <c r="R471" s="5"/>
      <c r="S471" s="5"/>
      <c r="T471" s="5"/>
      <c r="U471" s="5"/>
      <c r="V471" s="5"/>
      <c r="W471" s="5"/>
      <c r="X471" s="5"/>
      <c r="Y471" s="5"/>
      <c r="Z471" s="5"/>
    </row>
    <row r="472" spans="1:26" ht="12.5" x14ac:dyDescent="0.25">
      <c r="A472" s="5" t="s">
        <v>934</v>
      </c>
      <c r="B472" s="5" t="str">
        <f ca="1">IFERROR(__xludf.DUMMYFUNCTION("AI(""Fill an appropriate value for this cell based on the table context"")"),"Praise someone or something enthusiastically")</f>
        <v>Praise someone or something enthusiastically</v>
      </c>
      <c r="C472" s="5" t="str">
        <f ca="1">IFERROR(__xludf.DUMMYFUNCTION("AI(""Fill an appropriate value for this cell based on the table context"")"),"laud, praise, commend")</f>
        <v>laud, praise, commend</v>
      </c>
      <c r="D472" s="5" t="str">
        <f ca="1">IFERROR(__xludf.DUMMYFUNCTION("AI(""Fill an appropriate value for this cell based on the table context"")"),"The teacher praised and extolled the students' efforts on the project.")</f>
        <v>The teacher praised and extolled the students' efforts on the project.</v>
      </c>
      <c r="E472" s="5"/>
      <c r="F472" s="5"/>
      <c r="G472" s="5"/>
      <c r="H472" s="5"/>
      <c r="I472" s="5"/>
      <c r="J472" s="5"/>
      <c r="K472" s="5"/>
      <c r="L472" s="5"/>
      <c r="M472" s="5"/>
      <c r="N472" s="5"/>
      <c r="O472" s="5"/>
      <c r="P472" s="5"/>
      <c r="Q472" s="5"/>
      <c r="R472" s="5"/>
      <c r="S472" s="5"/>
      <c r="T472" s="5"/>
      <c r="U472" s="5"/>
      <c r="V472" s="5"/>
      <c r="W472" s="5"/>
      <c r="X472" s="5"/>
      <c r="Y472" s="5"/>
      <c r="Z472" s="5"/>
    </row>
    <row r="473" spans="1:26" ht="12.5" x14ac:dyDescent="0.25">
      <c r="A473" s="5" t="s">
        <v>935</v>
      </c>
      <c r="B473" s="5" t="str">
        <f ca="1">IFERROR(__xludf.DUMMYFUNCTION("AI(""Fill an appropriate value for this cell based on the table context"")"),"Praise formally and eloquently")</f>
        <v>Praise formally and eloquently</v>
      </c>
      <c r="C473" s="5" t="str">
        <f ca="1">IFERROR(__xludf.DUMMYFUNCTION("AI(""Fill an appropriate value for this cell based on the table context"")"),"praise, eulogize, acclaim")</f>
        <v>praise, eulogize, acclaim</v>
      </c>
      <c r="D473" s="5" t="str">
        <f ca="1">IFERROR(__xludf.DUMMYFUNCTION("AI(""Fill an appropriate value for this cell based on the table context"")"),"The critic wrote an essay to panegyrize the artist's late masterwork.")</f>
        <v>The critic wrote an essay to panegyrize the artist's late masterwork.</v>
      </c>
      <c r="E473" s="5"/>
      <c r="F473" s="5"/>
      <c r="G473" s="5"/>
      <c r="H473" s="5"/>
      <c r="I473" s="5"/>
      <c r="J473" s="5"/>
      <c r="K473" s="5"/>
      <c r="L473" s="5"/>
      <c r="M473" s="5"/>
      <c r="N473" s="5"/>
      <c r="O473" s="5"/>
      <c r="P473" s="5"/>
      <c r="Q473" s="5"/>
      <c r="R473" s="5"/>
      <c r="S473" s="5"/>
      <c r="T473" s="5"/>
      <c r="U473" s="5"/>
      <c r="V473" s="5"/>
      <c r="W473" s="5"/>
      <c r="X473" s="5"/>
      <c r="Y473" s="5"/>
      <c r="Z473" s="5"/>
    </row>
    <row r="474" spans="1:26" ht="12.5" x14ac:dyDescent="0.25">
      <c r="A474" s="5" t="s">
        <v>936</v>
      </c>
      <c r="B474" s="5" t="str">
        <f ca="1">IFERROR(__xludf.DUMMYFUNCTION("AI(""Fill an appropriate value for this cell based on the table context"")"),"A devoted supporter or follower")</f>
        <v>A devoted supporter or follower</v>
      </c>
      <c r="C474" s="5" t="str">
        <f ca="1">IFERROR(__xludf.DUMMYFUNCTION("AI(""Fill an appropriate value for this cell based on the table context"")"),"supporter, follower, disciple")</f>
        <v>supporter, follower, disciple</v>
      </c>
      <c r="D474" s="5" t="str">
        <f ca="1">IFERROR(__xludf.DUMMYFUNCTION("AI(""Fill an appropriate value for this cell based on the table context"")"),"He has been a devout adherent of the movement for decades.")</f>
        <v>He has been a devout adherent of the movement for decades.</v>
      </c>
      <c r="E474" s="5"/>
      <c r="F474" s="5"/>
      <c r="G474" s="5"/>
      <c r="H474" s="5"/>
      <c r="I474" s="5"/>
      <c r="J474" s="5"/>
      <c r="K474" s="5"/>
      <c r="L474" s="5"/>
      <c r="M474" s="5"/>
      <c r="N474" s="5"/>
      <c r="O474" s="5"/>
      <c r="P474" s="5"/>
      <c r="Q474" s="5"/>
      <c r="R474" s="5"/>
      <c r="S474" s="5"/>
      <c r="T474" s="5"/>
      <c r="U474" s="5"/>
      <c r="V474" s="5"/>
      <c r="W474" s="5"/>
      <c r="X474" s="5"/>
      <c r="Y474" s="5"/>
      <c r="Z474" s="5"/>
    </row>
    <row r="475" spans="1:26" ht="12.5" x14ac:dyDescent="0.25">
      <c r="A475" s="5" t="s">
        <v>937</v>
      </c>
      <c r="B475" s="5" t="str">
        <f ca="1">IFERROR(__xludf.DUMMYFUNCTION("AI(""Fill an appropriate value for this cell based on the table context"")"),"Make false and malicious statements about someone")</f>
        <v>Make false and malicious statements about someone</v>
      </c>
      <c r="C475" s="5" t="str">
        <f ca="1">IFERROR(__xludf.DUMMYFUNCTION("AI(""Fill an appropriate value for this cell based on the table context"")"),"slander, defame, malign")</f>
        <v>slander, defame, malign</v>
      </c>
      <c r="D475" s="5" t="str">
        <f ca="1">IFERROR(__xludf.DUMMYFUNCTION("AI(""Fill an appropriate value for this cell based on the table context"")"),"The smear campaign sought to calumniate the candidate's character.")</f>
        <v>The smear campaign sought to calumniate the candidate's character.</v>
      </c>
      <c r="E475" s="5"/>
      <c r="F475" s="5"/>
      <c r="G475" s="5"/>
      <c r="H475" s="5"/>
      <c r="I475" s="5"/>
      <c r="J475" s="5"/>
      <c r="K475" s="5"/>
      <c r="L475" s="5"/>
      <c r="M475" s="5"/>
      <c r="N475" s="5"/>
      <c r="O475" s="5"/>
      <c r="P475" s="5"/>
      <c r="Q475" s="5"/>
      <c r="R475" s="5"/>
      <c r="S475" s="5"/>
      <c r="T475" s="5"/>
      <c r="U475" s="5"/>
      <c r="V475" s="5"/>
      <c r="W475" s="5"/>
      <c r="X475" s="5"/>
      <c r="Y475" s="5"/>
      <c r="Z475" s="5"/>
    </row>
    <row r="476" spans="1:26" ht="12.5" x14ac:dyDescent="0.25">
      <c r="A476" s="5" t="s">
        <v>938</v>
      </c>
      <c r="B476" s="5" t="str">
        <f ca="1">IFERROR(__xludf.DUMMYFUNCTION("AI(""Fill an appropriate value for this cell based on the table context"")"),"Excessively sweet or overly sentimental")</f>
        <v>Excessively sweet or overly sentimental</v>
      </c>
      <c r="C476" s="5" t="str">
        <f ca="1">IFERROR(__xludf.DUMMYFUNCTION("AI(""Fill an appropriate value for this cell based on the table context"")"),"sugary, syrupy, cloying")</f>
        <v>sugary, syrupy, cloying</v>
      </c>
      <c r="D476" s="5" t="str">
        <f ca="1">IFERROR(__xludf.DUMMYFUNCTION("AI(""Fill an appropriate value for this cell based on the table context"")"),"Her saccharine smile failed to hide her true frustration.")</f>
        <v>Her saccharine smile failed to hide her true frustration.</v>
      </c>
      <c r="E476" s="5"/>
      <c r="F476" s="5"/>
      <c r="G476" s="5"/>
      <c r="H476" s="5"/>
      <c r="I476" s="5"/>
      <c r="J476" s="5"/>
      <c r="K476" s="5"/>
      <c r="L476" s="5"/>
      <c r="M476" s="5"/>
      <c r="N476" s="5"/>
      <c r="O476" s="5"/>
      <c r="P476" s="5"/>
      <c r="Q476" s="5"/>
      <c r="R476" s="5"/>
      <c r="S476" s="5"/>
      <c r="T476" s="5"/>
      <c r="U476" s="5"/>
      <c r="V476" s="5"/>
      <c r="W476" s="5"/>
      <c r="X476" s="5"/>
      <c r="Y476" s="5"/>
      <c r="Z476" s="5"/>
    </row>
    <row r="477" spans="1:26" ht="12.5" x14ac:dyDescent="0.25">
      <c r="A477" s="5" t="s">
        <v>939</v>
      </c>
      <c r="B477" s="5" t="str">
        <f ca="1">IFERROR(__xludf.DUMMYFUNCTION("AI(""Fill an appropriate value for this cell based on the table context"")"),"Disgustingly or sickeningly sweet or sentimental")</f>
        <v>Disgustingly or sickeningly sweet or sentimental</v>
      </c>
      <c r="C477" s="5" t="str">
        <f ca="1">IFERROR(__xludf.DUMMYFUNCTION("AI(""Fill an appropriate value for this cell based on the table context"")"),"sickly, saccharine, nauseating")</f>
        <v>sickly, saccharine, nauseating</v>
      </c>
      <c r="D477" s="5" t="str">
        <f ca="1">IFERROR(__xludf.DUMMYFUNCTION("AI(""Fill an appropriate value for this cell based on the table context"")"),"The dessert was overly sweet and left a cloying taste in his mouth.")</f>
        <v>The dessert was overly sweet and left a cloying taste in his mouth.</v>
      </c>
      <c r="E477" s="5"/>
      <c r="F477" s="5"/>
      <c r="G477" s="5"/>
      <c r="H477" s="5"/>
      <c r="I477" s="5"/>
      <c r="J477" s="5"/>
      <c r="K477" s="5"/>
      <c r="L477" s="5"/>
      <c r="M477" s="5"/>
      <c r="N477" s="5"/>
      <c r="O477" s="5"/>
      <c r="P477" s="5"/>
      <c r="Q477" s="5"/>
      <c r="R477" s="5"/>
      <c r="S477" s="5"/>
      <c r="T477" s="5"/>
      <c r="U477" s="5"/>
      <c r="V477" s="5"/>
      <c r="W477" s="5"/>
      <c r="X477" s="5"/>
      <c r="Y477" s="5"/>
      <c r="Z477" s="5"/>
    </row>
    <row r="478" spans="1:26" ht="12.5" x14ac:dyDescent="0.25">
      <c r="A478" s="5" t="s">
        <v>940</v>
      </c>
      <c r="B478" s="5" t="str">
        <f ca="1">IFERROR(__xludf.DUMMYFUNCTION("AI(""Fill an appropriate value for this cell based on the table context"")"),"A total lack of sense or meaning")</f>
        <v>A total lack of sense or meaning</v>
      </c>
      <c r="C478" s="5" t="str">
        <f ca="1">IFERROR(__xludf.DUMMYFUNCTION("AI(""Fill an appropriate value for this cell based on the table context"")"),"foolishness, stupidity, silliness")</f>
        <v>foolishness, stupidity, silliness</v>
      </c>
      <c r="D478" s="5" t="str">
        <f ca="1">IFERROR(__xludf.DUMMYFUNCTION("AI(""Fill an appropriate value for this cell based on the table context"")"),"He grew tired of listening to the inanity of the late-night talk show.")</f>
        <v>He grew tired of listening to the inanity of the late-night talk show.</v>
      </c>
      <c r="E478" s="5"/>
      <c r="F478" s="5"/>
      <c r="G478" s="5"/>
      <c r="H478" s="5"/>
      <c r="I478" s="5"/>
      <c r="J478" s="5"/>
      <c r="K478" s="5"/>
      <c r="L478" s="5"/>
      <c r="M478" s="5"/>
      <c r="N478" s="5"/>
      <c r="O478" s="5"/>
      <c r="P478" s="5"/>
      <c r="Q478" s="5"/>
      <c r="R478" s="5"/>
      <c r="S478" s="5"/>
      <c r="T478" s="5"/>
      <c r="U478" s="5"/>
      <c r="V478" s="5"/>
      <c r="W478" s="5"/>
      <c r="X478" s="5"/>
      <c r="Y478" s="5"/>
      <c r="Z478" s="5"/>
    </row>
    <row r="479" spans="1:26" ht="12.5" x14ac:dyDescent="0.25">
      <c r="A479" s="5" t="s">
        <v>941</v>
      </c>
      <c r="B479" s="5" t="str">
        <f ca="1">IFERROR(__xludf.DUMMYFUNCTION("AI(""Fill an appropriate value for this cell based on the table context"")"),"The quality of being brief and clear")</f>
        <v>The quality of being brief and clear</v>
      </c>
      <c r="C479" s="5" t="str">
        <f ca="1">IFERROR(__xludf.DUMMYFUNCTION("AI(""Fill an appropriate value for this cell based on the table context"")"),"brevity, terseness, succinctness")</f>
        <v>brevity, terseness, succinctness</v>
      </c>
      <c r="D479" s="5" t="str">
        <f ca="1">IFERROR(__xludf.DUMMYFUNCTION("AI(""Fill an appropriate value for this cell based on the table context"")"),"Her report was appreciated for its concision and clarity.")</f>
        <v>Her report was appreciated for its concision and clarity.</v>
      </c>
      <c r="E479" s="5"/>
      <c r="F479" s="5"/>
      <c r="G479" s="5"/>
      <c r="H479" s="5"/>
      <c r="I479" s="5"/>
      <c r="J479" s="5"/>
      <c r="K479" s="5"/>
      <c r="L479" s="5"/>
      <c r="M479" s="5"/>
      <c r="N479" s="5"/>
      <c r="O479" s="5"/>
      <c r="P479" s="5"/>
      <c r="Q479" s="5"/>
      <c r="R479" s="5"/>
      <c r="S479" s="5"/>
      <c r="T479" s="5"/>
      <c r="U479" s="5"/>
      <c r="V479" s="5"/>
      <c r="W479" s="5"/>
      <c r="X479" s="5"/>
      <c r="Y479" s="5"/>
      <c r="Z479" s="5"/>
    </row>
    <row r="480" spans="1:26" ht="12.5" x14ac:dyDescent="0.25">
      <c r="A480" s="5" t="s">
        <v>942</v>
      </c>
      <c r="B480" s="5" t="str">
        <f ca="1">IFERROR(__xludf.DUMMYFUNCTION("AI(""Fill an appropriate value for this cell based on the table context"")"),"The quality of being concise and forcefully expressive")</f>
        <v>The quality of being concise and forcefully expressive</v>
      </c>
      <c r="C480" s="5" t="str">
        <f ca="1">IFERROR(__xludf.DUMMYFUNCTION("AI(""Fill an appropriate value for this cell based on the table context"")"),"brevity, conciseness, terseness")</f>
        <v>brevity, conciseness, terseness</v>
      </c>
      <c r="D480" s="5" t="str">
        <f ca="1">IFERROR(__xludf.DUMMYFUNCTION("AI(""Fill an appropriate value for this cell based on the table context"")"),"The author's pithiness allowed him to convey deep insights in just a few words.")</f>
        <v>The author's pithiness allowed him to convey deep insights in just a few words.</v>
      </c>
      <c r="E480" s="5"/>
      <c r="F480" s="5"/>
      <c r="G480" s="5"/>
      <c r="H480" s="5"/>
      <c r="I480" s="5"/>
      <c r="J480" s="5"/>
      <c r="K480" s="5"/>
      <c r="L480" s="5"/>
      <c r="M480" s="5"/>
      <c r="N480" s="5"/>
      <c r="O480" s="5"/>
      <c r="P480" s="5"/>
      <c r="Q480" s="5"/>
      <c r="R480" s="5"/>
      <c r="S480" s="5"/>
      <c r="T480" s="5"/>
      <c r="U480" s="5"/>
      <c r="V480" s="5"/>
      <c r="W480" s="5"/>
      <c r="X480" s="5"/>
      <c r="Y480" s="5"/>
      <c r="Z480" s="5"/>
    </row>
    <row r="481" spans="1:26" ht="12.5" x14ac:dyDescent="0.25">
      <c r="A481" s="5" t="s">
        <v>943</v>
      </c>
      <c r="B481" s="5" t="str">
        <f ca="1">IFERROR(__xludf.DUMMYFUNCTION("AI(""Fill an appropriate value for this cell based on the table context"")"),"Clever, skillful, or crafty in a cunning way")</f>
        <v>Clever, skillful, or crafty in a cunning way</v>
      </c>
      <c r="C481" s="5" t="str">
        <f ca="1">IFERROR(__xludf.DUMMYFUNCTION("AI(""Fill an appropriate value for this cell based on the table context"")"),"crafty, sly, cunning")</f>
        <v>crafty, sly, cunning</v>
      </c>
      <c r="D481" s="5" t="str">
        <f ca="1">IFERROR(__xludf.DUMMYFUNCTION("AI(""Fill an appropriate value for this cell based on the table context"")"),"The artful negotiator managed to secure a favorable deal for both sides.")</f>
        <v>The artful negotiator managed to secure a favorable deal for both sides.</v>
      </c>
      <c r="E481" s="5"/>
      <c r="F481" s="5"/>
      <c r="G481" s="5"/>
      <c r="H481" s="5"/>
      <c r="I481" s="5"/>
      <c r="J481" s="5"/>
      <c r="K481" s="5"/>
      <c r="L481" s="5"/>
      <c r="M481" s="5"/>
      <c r="N481" s="5"/>
      <c r="O481" s="5"/>
      <c r="P481" s="5"/>
      <c r="Q481" s="5"/>
      <c r="R481" s="5"/>
      <c r="S481" s="5"/>
      <c r="T481" s="5"/>
      <c r="U481" s="5"/>
      <c r="V481" s="5"/>
      <c r="W481" s="5"/>
      <c r="X481" s="5"/>
      <c r="Y481" s="5"/>
      <c r="Z481" s="5"/>
    </row>
    <row r="482" spans="1:26" ht="12.5" x14ac:dyDescent="0.25">
      <c r="A482" s="5" t="s">
        <v>944</v>
      </c>
      <c r="B482" s="5" t="str">
        <f ca="1">IFERROR(__xludf.DUMMYFUNCTION("AI(""Fill an appropriate value for this cell based on the table context"")"),"Confront or defy someone boldly and confidently")</f>
        <v>Confront or defy someone boldly and confidently</v>
      </c>
      <c r="C482" s="5" t="str">
        <f ca="1">IFERROR(__xludf.DUMMYFUNCTION("AI(""Fill an appropriate value for this cell based on the table context"")"),"defy, confront, withstand")</f>
        <v>defy, confront, withstand</v>
      </c>
      <c r="D482" s="5" t="str">
        <f ca="1">IFERROR(__xludf.DUMMYFUNCTION("AI(""Fill an appropriate value for this cell based on the table context"")"),"She was determined to outface her critics during the debate.")</f>
        <v>She was determined to outface her critics during the debate.</v>
      </c>
      <c r="E482" s="5"/>
      <c r="F482" s="5"/>
      <c r="G482" s="5"/>
      <c r="H482" s="5"/>
      <c r="I482" s="5"/>
      <c r="J482" s="5"/>
      <c r="K482" s="5"/>
      <c r="L482" s="5"/>
      <c r="M482" s="5"/>
      <c r="N482" s="5"/>
      <c r="O482" s="5"/>
      <c r="P482" s="5"/>
      <c r="Q482" s="5"/>
      <c r="R482" s="5"/>
      <c r="S482" s="5"/>
      <c r="T482" s="5"/>
      <c r="U482" s="5"/>
      <c r="V482" s="5"/>
      <c r="W482" s="5"/>
      <c r="X482" s="5"/>
      <c r="Y482" s="5"/>
      <c r="Z482" s="5"/>
    </row>
    <row r="483" spans="1:26" ht="12.5" x14ac:dyDescent="0.25">
      <c r="A483" s="5" t="s">
        <v>945</v>
      </c>
      <c r="B483" s="5" t="str">
        <f ca="1">IFERROR(__xludf.DUMMYFUNCTION("AI(""Fill an appropriate value for this cell based on the table context"")"),"Subjected to dominant authority or influence")</f>
        <v>Subjected to dominant authority or influence</v>
      </c>
      <c r="C483" s="5" t="str">
        <f ca="1">IFERROR(__xludf.DUMMYFUNCTION("AI(""Fill an appropriate value for this cell based on the table context"")"),"dominated, controlled, subjugated")</f>
        <v>dominated, controlled, subjugated</v>
      </c>
      <c r="D483" s="5" t="str">
        <f ca="1">IFERROR(__xludf.DUMMYFUNCTION("AI(""Fill an appropriate value for this cell based on the table context"")"),"The empire hegemonized the smaller surrounding territories over centuries.")</f>
        <v>The empire hegemonized the smaller surrounding territories over centuries.</v>
      </c>
      <c r="E483" s="5"/>
      <c r="F483" s="5"/>
      <c r="G483" s="5"/>
      <c r="H483" s="5"/>
      <c r="I483" s="5"/>
      <c r="J483" s="5"/>
      <c r="K483" s="5"/>
      <c r="L483" s="5"/>
      <c r="M483" s="5"/>
      <c r="N483" s="5"/>
      <c r="O483" s="5"/>
      <c r="P483" s="5"/>
      <c r="Q483" s="5"/>
      <c r="R483" s="5"/>
      <c r="S483" s="5"/>
      <c r="T483" s="5"/>
      <c r="U483" s="5"/>
      <c r="V483" s="5"/>
      <c r="W483" s="5"/>
      <c r="X483" s="5"/>
      <c r="Y483" s="5"/>
      <c r="Z483" s="5"/>
    </row>
    <row r="484" spans="1:26" ht="12.5" x14ac:dyDescent="0.25">
      <c r="A484" s="5" t="s">
        <v>946</v>
      </c>
      <c r="B484" s="5" t="str">
        <f ca="1">IFERROR(__xludf.DUMMYFUNCTION("AI(""Fill an appropriate value for this cell based on the table context"")"),"Issue or originate from a source")</f>
        <v>Issue or originate from a source</v>
      </c>
      <c r="C484" s="5" t="str">
        <f ca="1">IFERROR(__xludf.DUMMYFUNCTION("AI(""Fill an appropriate value for this cell based on the table context"")"),"originate, emerge, issue")</f>
        <v>originate, emerge, issue</v>
      </c>
      <c r="D484" s="5" t="str">
        <f ca="1">IFERROR(__xludf.DUMMYFUNCTION("AI(""Fill an appropriate value for this cell based on the table context"")"),"A sense of calm began to emanate from the quiet garden.")</f>
        <v>A sense of calm began to emanate from the quiet garden.</v>
      </c>
      <c r="E484" s="5"/>
      <c r="F484" s="5"/>
      <c r="G484" s="5"/>
      <c r="H484" s="5"/>
      <c r="I484" s="5"/>
      <c r="J484" s="5"/>
      <c r="K484" s="5"/>
      <c r="L484" s="5"/>
      <c r="M484" s="5"/>
      <c r="N484" s="5"/>
      <c r="O484" s="5"/>
      <c r="P484" s="5"/>
      <c r="Q484" s="5"/>
      <c r="R484" s="5"/>
      <c r="S484" s="5"/>
      <c r="T484" s="5"/>
      <c r="U484" s="5"/>
      <c r="V484" s="5"/>
      <c r="W484" s="5"/>
      <c r="X484" s="5"/>
      <c r="Y484" s="5"/>
      <c r="Z484" s="5"/>
    </row>
    <row r="485" spans="1:26" ht="12.5" x14ac:dyDescent="0.25">
      <c r="A485" s="5" t="s">
        <v>947</v>
      </c>
      <c r="B485" s="5" t="str">
        <f ca="1">IFERROR(__xludf.DUMMYFUNCTION("AI(""Fill an appropriate value for this cell based on the table context"")"),"Possessing or claiming universal knowledge")</f>
        <v>Possessing or claiming universal knowledge</v>
      </c>
      <c r="C485" s="5" t="str">
        <f ca="1">IFERROR(__xludf.DUMMYFUNCTION("AI(""Fill an appropriate value for this cell based on the table context"")"),"omniscient, all-knowing, wise")</f>
        <v>omniscient, all-knowing, wise</v>
      </c>
      <c r="D485" s="5" t="str">
        <f ca="1">IFERROR(__xludf.DUMMYFUNCTION("AI(""Fill an appropriate value for this cell based on the table context"")"),"The scholar aspired to gain pansophical knowledge across all major disciplines.")</f>
        <v>The scholar aspired to gain pansophical knowledge across all major disciplines.</v>
      </c>
      <c r="E485" s="5"/>
      <c r="F485" s="5"/>
      <c r="G485" s="5"/>
      <c r="H485" s="5"/>
      <c r="I485" s="5"/>
      <c r="J485" s="5"/>
      <c r="K485" s="5"/>
      <c r="L485" s="5"/>
      <c r="M485" s="5"/>
      <c r="N485" s="5"/>
      <c r="O485" s="5"/>
      <c r="P485" s="5"/>
      <c r="Q485" s="5"/>
      <c r="R485" s="5"/>
      <c r="S485" s="5"/>
      <c r="T485" s="5"/>
      <c r="U485" s="5"/>
      <c r="V485" s="5"/>
      <c r="W485" s="5"/>
      <c r="X485" s="5"/>
      <c r="Y485" s="5"/>
      <c r="Z485" s="5"/>
    </row>
    <row r="486" spans="1:26" ht="12.5" x14ac:dyDescent="0.25">
      <c r="A486" s="5" t="s">
        <v>948</v>
      </c>
      <c r="B486" s="5" t="str">
        <f ca="1">IFERROR(__xludf.DUMMYFUNCTION("AI(""Fill an appropriate value for this cell based on the table context"")"),"Feel or show triumphant joy or jubilation")</f>
        <v>Feel or show triumphant joy or jubilation</v>
      </c>
      <c r="C486" s="5" t="str">
        <f ca="1">IFERROR(__xludf.DUMMYFUNCTION("AI(""Fill an appropriate value for this cell based on the table context"")"),"rejoice, triumph, celebrate")</f>
        <v>rejoice, triumph, celebrate</v>
      </c>
      <c r="D486" s="5" t="str">
        <f ca="1">IFERROR(__xludf.DUMMYFUNCTION("AI(""Fill an appropriate value for this cell based on the table context"")"),"The fans began to exult in victory as the final whistle blew.")</f>
        <v>The fans began to exult in victory as the final whistle blew.</v>
      </c>
      <c r="E486" s="5"/>
      <c r="F486" s="5"/>
      <c r="G486" s="5"/>
      <c r="H486" s="5"/>
      <c r="I486" s="5"/>
      <c r="J486" s="5"/>
      <c r="K486" s="5"/>
      <c r="L486" s="5"/>
      <c r="M486" s="5"/>
      <c r="N486" s="5"/>
      <c r="O486" s="5"/>
      <c r="P486" s="5"/>
      <c r="Q486" s="5"/>
      <c r="R486" s="5"/>
      <c r="S486" s="5"/>
      <c r="T486" s="5"/>
      <c r="U486" s="5"/>
      <c r="V486" s="5"/>
      <c r="W486" s="5"/>
      <c r="X486" s="5"/>
      <c r="Y486" s="5"/>
      <c r="Z486" s="5"/>
    </row>
    <row r="487" spans="1:26" ht="12.5" x14ac:dyDescent="0.25">
      <c r="A487" s="5" t="s">
        <v>949</v>
      </c>
      <c r="B487" s="5" t="str">
        <f ca="1">IFERROR(__xludf.DUMMYFUNCTION("AI(""Fill an appropriate value for this cell based on the table context"")"),"Former or belonging to a previous time")</f>
        <v>Former or belonging to a previous time</v>
      </c>
      <c r="C487" s="5" t="str">
        <f ca="1">IFERROR(__xludf.DUMMYFUNCTION("AI(""Fill an appropriate value for this cell based on the table context"")"),"former, previous, onetime")</f>
        <v>former, previous, onetime</v>
      </c>
      <c r="D487" s="5" t="str">
        <f ca="1">IFERROR(__xludf.DUMMYFUNCTION("AI(""Fill an appropriate value for this cell based on the table context"")"),"The erstwhile champion returned to the ring after five years of retirement.")</f>
        <v>The erstwhile champion returned to the ring after five years of retirement.</v>
      </c>
      <c r="E487" s="5"/>
      <c r="F487" s="5"/>
      <c r="G487" s="5"/>
      <c r="H487" s="5"/>
      <c r="I487" s="5"/>
      <c r="J487" s="5"/>
      <c r="K487" s="5"/>
      <c r="L487" s="5"/>
      <c r="M487" s="5"/>
      <c r="N487" s="5"/>
      <c r="O487" s="5"/>
      <c r="P487" s="5"/>
      <c r="Q487" s="5"/>
      <c r="R487" s="5"/>
      <c r="S487" s="5"/>
      <c r="T487" s="5"/>
      <c r="U487" s="5"/>
      <c r="V487" s="5"/>
      <c r="W487" s="5"/>
      <c r="X487" s="5"/>
      <c r="Y487" s="5"/>
      <c r="Z487" s="5"/>
    </row>
    <row r="488" spans="1:26" ht="12.5" x14ac:dyDescent="0.25">
      <c r="A488" s="5" t="s">
        <v>950</v>
      </c>
      <c r="B488" s="5" t="str">
        <f ca="1">IFERROR(__xludf.DUMMYFUNCTION("AI(""Fill an appropriate value for this cell based on the table context"")"),"Something that came before or preceded another")</f>
        <v>Something that came before or preceded another</v>
      </c>
      <c r="C488" s="5" t="str">
        <f ca="1">IFERROR(__xludf.DUMMYFUNCTION("AI(""Fill an appropriate value for this cell based on the table context"")"),"previous, preceding, prior")</f>
        <v>previous, preceding, prior</v>
      </c>
      <c r="D488" s="5" t="str">
        <f ca="1">IFERROR(__xludf.DUMMYFUNCTION("AI(""Fill an appropriate value for this cell based on the table context"")"),"The historic event was the direct antecedent of the revolution that followed.")</f>
        <v>The historic event was the direct antecedent of the revolution that followed.</v>
      </c>
      <c r="E488" s="5"/>
      <c r="F488" s="5"/>
      <c r="G488" s="5"/>
      <c r="H488" s="5"/>
      <c r="I488" s="5"/>
      <c r="J488" s="5"/>
      <c r="K488" s="5"/>
      <c r="L488" s="5"/>
      <c r="M488" s="5"/>
      <c r="N488" s="5"/>
      <c r="O488" s="5"/>
      <c r="P488" s="5"/>
      <c r="Q488" s="5"/>
      <c r="R488" s="5"/>
      <c r="S488" s="5"/>
      <c r="T488" s="5"/>
      <c r="U488" s="5"/>
      <c r="V488" s="5"/>
      <c r="W488" s="5"/>
      <c r="X488" s="5"/>
      <c r="Y488" s="5"/>
      <c r="Z488" s="5"/>
    </row>
    <row r="489" spans="1:26" ht="12.5" x14ac:dyDescent="0.25">
      <c r="A489" s="5" t="s">
        <v>951</v>
      </c>
      <c r="B489" s="5" t="str">
        <f ca="1">IFERROR(__xludf.DUMMYFUNCTION("AI(""Fill an appropriate value for this cell based on the table context"")"),"Former or belonging to an earlier time")</f>
        <v>Former or belonging to an earlier time</v>
      </c>
      <c r="C489" s="5" t="str">
        <f ca="1">IFERROR(__xludf.DUMMYFUNCTION("AI(""Fill an appropriate value for this cell based on the table context"")"),"former, past, onetime")</f>
        <v>former, past, onetime</v>
      </c>
      <c r="D489" s="5" t="str">
        <f ca="1">IFERROR(__xludf.DUMMYFUNCTION("AI(""Fill an appropriate value for this cell based on the table context"")"),"The quondam rivals put aside their differences to work on a joint project.")</f>
        <v>The quondam rivals put aside their differences to work on a joint project.</v>
      </c>
      <c r="E489" s="5"/>
      <c r="F489" s="5"/>
      <c r="G489" s="5"/>
      <c r="H489" s="5"/>
      <c r="I489" s="5"/>
      <c r="J489" s="5"/>
      <c r="K489" s="5"/>
      <c r="L489" s="5"/>
      <c r="M489" s="5"/>
      <c r="N489" s="5"/>
      <c r="O489" s="5"/>
      <c r="P489" s="5"/>
      <c r="Q489" s="5"/>
      <c r="R489" s="5"/>
      <c r="S489" s="5"/>
      <c r="T489" s="5"/>
      <c r="U489" s="5"/>
      <c r="V489" s="5"/>
      <c r="W489" s="5"/>
      <c r="X489" s="5"/>
      <c r="Y489" s="5"/>
      <c r="Z489" s="5"/>
    </row>
    <row r="490" spans="1:26" ht="12.5" x14ac:dyDescent="0.25">
      <c r="A490" s="5" t="s">
        <v>952</v>
      </c>
      <c r="B490" s="5" t="str">
        <f ca="1">IFERROR(__xludf.DUMMYFUNCTION("AI(""Fill an appropriate value for this cell based on the table context"")"),"Intended as or inflicting punishment")</f>
        <v>Intended as or inflicting punishment</v>
      </c>
      <c r="C490" s="5" t="str">
        <f ca="1">IFERROR(__xludf.DUMMYFUNCTION("AI(""Fill an appropriate value for this cell based on the table context"")"),"disciplinary, penal, retaliatory")</f>
        <v>disciplinary, penal, retaliatory</v>
      </c>
      <c r="D490" s="5" t="str">
        <f ca="1">IFERROR(__xludf.DUMMYFUNCTION("AI(""Fill an appropriate value for this cell based on the table context"")"),"The government imposed punitive tariffs on imported goods after the dispute.")</f>
        <v>The government imposed punitive tariffs on imported goods after the dispute.</v>
      </c>
      <c r="E490" s="5"/>
      <c r="F490" s="5"/>
      <c r="G490" s="5"/>
      <c r="H490" s="5"/>
      <c r="I490" s="5"/>
      <c r="J490" s="5"/>
      <c r="K490" s="5"/>
      <c r="L490" s="5"/>
      <c r="M490" s="5"/>
      <c r="N490" s="5"/>
      <c r="O490" s="5"/>
      <c r="P490" s="5"/>
      <c r="Q490" s="5"/>
      <c r="R490" s="5"/>
      <c r="S490" s="5"/>
      <c r="T490" s="5"/>
      <c r="U490" s="5"/>
      <c r="V490" s="5"/>
      <c r="W490" s="5"/>
      <c r="X490" s="5"/>
      <c r="Y490" s="5"/>
      <c r="Z490" s="5"/>
    </row>
    <row r="491" spans="1:26" ht="12.5" x14ac:dyDescent="0.25">
      <c r="A491" s="5" t="s">
        <v>953</v>
      </c>
      <c r="B491" s="5" t="str">
        <f ca="1">IFERROR(__xludf.DUMMYFUNCTION("AI(""Fill an appropriate value for this cell based on the table context"")"),"Resting, sleeping, or lying in a place")</f>
        <v>Resting, sleeping, or lying in a place</v>
      </c>
      <c r="C491" s="5" t="str">
        <f ca="1">IFERROR(__xludf.DUMMYFUNCTION("AI(""Fill an appropriate value for this cell based on the table context"")"),"resting, reclining, lying")</f>
        <v>resting, reclining, lying</v>
      </c>
      <c r="D491" s="5" t="str">
        <f ca="1">IFERROR(__xludf.DUMMYFUNCTION("AI(""Fill an appropriate value for this cell based on the table context"")"),"The old cat was reposing peacefully in the warm afternoon sunlight.")</f>
        <v>The old cat was reposing peacefully in the warm afternoon sunlight.</v>
      </c>
      <c r="E491" s="5"/>
      <c r="F491" s="5"/>
      <c r="G491" s="5"/>
      <c r="H491" s="5"/>
      <c r="I491" s="5"/>
      <c r="J491" s="5"/>
      <c r="K491" s="5"/>
      <c r="L491" s="5"/>
      <c r="M491" s="5"/>
      <c r="N491" s="5"/>
      <c r="O491" s="5"/>
      <c r="P491" s="5"/>
      <c r="Q491" s="5"/>
      <c r="R491" s="5"/>
      <c r="S491" s="5"/>
      <c r="T491" s="5"/>
      <c r="U491" s="5"/>
      <c r="V491" s="5"/>
      <c r="W491" s="5"/>
      <c r="X491" s="5"/>
      <c r="Y491" s="5"/>
      <c r="Z491" s="5"/>
    </row>
    <row r="492" spans="1:26" ht="12.5" x14ac:dyDescent="0.25">
      <c r="A492" s="5" t="s">
        <v>954</v>
      </c>
      <c r="B492" s="5" t="str">
        <f ca="1">IFERROR(__xludf.DUMMYFUNCTION("AI(""Fill an appropriate value for this cell based on the table context"")"),"In a state or period of inactivity or dormancy")</f>
        <v>In a state or period of inactivity or dormancy</v>
      </c>
      <c r="C492" s="5" t="str">
        <f ca="1">IFERROR(__xludf.DUMMYFUNCTION("AI(""Fill an appropriate value for this cell based on the table context"")"),"inactive, dormant, quiet")</f>
        <v>inactive, dormant, quiet</v>
      </c>
      <c r="D492" s="5" t="str">
        <f ca="1">IFERROR(__xludf.DUMMYFUNCTION("AI(""Fill an appropriate value for this cell based on the table context"")"),"The volcano has remained quiescent for more than two centuries.")</f>
        <v>The volcano has remained quiescent for more than two centuries.</v>
      </c>
      <c r="E492" s="5"/>
      <c r="F492" s="5"/>
      <c r="G492" s="5"/>
      <c r="H492" s="5"/>
      <c r="I492" s="5"/>
      <c r="J492" s="5"/>
      <c r="K492" s="5"/>
      <c r="L492" s="5"/>
      <c r="M492" s="5"/>
      <c r="N492" s="5"/>
      <c r="O492" s="5"/>
      <c r="P492" s="5"/>
      <c r="Q492" s="5"/>
      <c r="R492" s="5"/>
      <c r="S492" s="5"/>
      <c r="T492" s="5"/>
      <c r="U492" s="5"/>
      <c r="V492" s="5"/>
      <c r="W492" s="5"/>
      <c r="X492" s="5"/>
      <c r="Y492" s="5"/>
      <c r="Z492" s="5"/>
    </row>
    <row r="493" spans="1:26" ht="12.5" x14ac:dyDescent="0.25">
      <c r="A493" s="5" t="s">
        <v>955</v>
      </c>
      <c r="B493" s="5" t="str">
        <f ca="1">IFERROR(__xludf.DUMMYFUNCTION("AI(""Fill an appropriate value for this cell based on the table context"")"),"Speak badly of or slander someone")</f>
        <v>Speak badly of or slander someone</v>
      </c>
      <c r="C493" s="5" t="str">
        <f ca="1">IFERROR(__xludf.DUMMYFUNCTION("AI(""Fill an appropriate value for this cell based on the table context"")"),"defame, vilify, slander")</f>
        <v>defame, vilify, slander</v>
      </c>
      <c r="D493" s="5" t="str">
        <f ca="1">IFERROR(__xludf.DUMMYFUNCTION("AI(""Fill an appropriate value for this cell based on the table context"")"),"He attempted to traduce his colleague's reputation with false rumors.")</f>
        <v>He attempted to traduce his colleague's reputation with false rumors.</v>
      </c>
      <c r="E493" s="5"/>
      <c r="F493" s="5"/>
      <c r="G493" s="5"/>
      <c r="H493" s="5"/>
      <c r="I493" s="5"/>
      <c r="J493" s="5"/>
      <c r="K493" s="5"/>
      <c r="L493" s="5"/>
      <c r="M493" s="5"/>
      <c r="N493" s="5"/>
      <c r="O493" s="5"/>
      <c r="P493" s="5"/>
      <c r="Q493" s="5"/>
      <c r="R493" s="5"/>
      <c r="S493" s="5"/>
      <c r="T493" s="5"/>
      <c r="U493" s="5"/>
      <c r="V493" s="5"/>
      <c r="W493" s="5"/>
      <c r="X493" s="5"/>
      <c r="Y493" s="5"/>
      <c r="Z493" s="5"/>
    </row>
    <row r="494" spans="1:26" ht="12.5" x14ac:dyDescent="0.25">
      <c r="A494" s="5" t="s">
        <v>956</v>
      </c>
      <c r="B494" s="5" t="str">
        <f ca="1">IFERROR(__xludf.DUMMYFUNCTION("AI(""Fill an appropriate value for this cell based on the table context"")"),"Fashionable or following current trends")</f>
        <v>Fashionable or following current trends</v>
      </c>
      <c r="C494" s="5" t="str">
        <f ca="1">IFERROR(__xludf.DUMMYFUNCTION("AI(""Fill an appropriate value for this cell based on the table context"")"),"fashionable, stylish, chic")</f>
        <v>fashionable, stylish, chic</v>
      </c>
      <c r="D494" s="5" t="str">
        <f ca="1">IFERROR(__xludf.DUMMYFUNCTION("AI(""Fill an appropriate value for this cell based on the table context"")"),"She wore a modish outfit that immediately caught everyone's attention.")</f>
        <v>She wore a modish outfit that immediately caught everyone's attention.</v>
      </c>
      <c r="E494" s="5"/>
      <c r="F494" s="5"/>
      <c r="G494" s="5"/>
      <c r="H494" s="5"/>
      <c r="I494" s="5"/>
      <c r="J494" s="5"/>
      <c r="K494" s="5"/>
      <c r="L494" s="5"/>
      <c r="M494" s="5"/>
      <c r="N494" s="5"/>
      <c r="O494" s="5"/>
      <c r="P494" s="5"/>
      <c r="Q494" s="5"/>
      <c r="R494" s="5"/>
      <c r="S494" s="5"/>
      <c r="T494" s="5"/>
      <c r="U494" s="5"/>
      <c r="V494" s="5"/>
      <c r="W494" s="5"/>
      <c r="X494" s="5"/>
      <c r="Y494" s="5"/>
      <c r="Z494" s="5"/>
    </row>
    <row r="495" spans="1:26" ht="12.5" x14ac:dyDescent="0.25">
      <c r="A495" s="5" t="s">
        <v>957</v>
      </c>
      <c r="B495" s="5" t="str">
        <f ca="1">IFERROR(__xludf.DUMMYFUNCTION("AI(""Fill an appropriate value for this cell based on the table context"")"),"Showing a lack of thought or intelligence")</f>
        <v>Showing a lack of thought or intelligence</v>
      </c>
      <c r="C495" s="5" t="str">
        <f ca="1">IFERROR(__xludf.DUMMYFUNCTION("AI(""Fill an appropriate value for this cell based on the table context"")"),"empty, inane, vacant")</f>
        <v>empty, inane, vacant</v>
      </c>
      <c r="D495" s="5" t="str">
        <f ca="1">IFERROR(__xludf.DUMMYFUNCTION("AI(""Fill an appropriate value for this cell based on the table context"")"),"He responded to the complex question with a vacuous smile.")</f>
        <v>He responded to the complex question with a vacuous smile.</v>
      </c>
      <c r="E495" s="5"/>
      <c r="F495" s="5"/>
      <c r="G495" s="5"/>
      <c r="H495" s="5"/>
      <c r="I495" s="5"/>
      <c r="J495" s="5"/>
      <c r="K495" s="5"/>
      <c r="L495" s="5"/>
      <c r="M495" s="5"/>
      <c r="N495" s="5"/>
      <c r="O495" s="5"/>
      <c r="P495" s="5"/>
      <c r="Q495" s="5"/>
      <c r="R495" s="5"/>
      <c r="S495" s="5"/>
      <c r="T495" s="5"/>
      <c r="U495" s="5"/>
      <c r="V495" s="5"/>
      <c r="W495" s="5"/>
      <c r="X495" s="5"/>
      <c r="Y495" s="5"/>
      <c r="Z495" s="5"/>
    </row>
    <row r="496" spans="1:26" ht="12.5" x14ac:dyDescent="0.25">
      <c r="A496" s="5" t="s">
        <v>958</v>
      </c>
      <c r="B496" s="5" t="str">
        <f ca="1">IFERROR(__xludf.DUMMYFUNCTION("AI(""Fill an appropriate value for this cell based on the table context"")"),"Swollen, inflated, or pompously ornate")</f>
        <v>Swollen, inflated, or pompously ornate</v>
      </c>
      <c r="C496" s="5" t="str">
        <f ca="1">IFERROR(__xludf.DUMMYFUNCTION("AI(""Fill an appropriate value for this cell based on the table context"")"),"swollen, pompous, bombastic")</f>
        <v>swollen, pompous, bombastic</v>
      </c>
      <c r="D496" s="5" t="str">
        <f ca="1">IFERROR(__xludf.DUMMYFUNCTION("AI(""Fill an appropriate value for this cell based on the table context"")"),"The audience struggled to stay awake during his turgid speech.")</f>
        <v>The audience struggled to stay awake during his turgid speech.</v>
      </c>
      <c r="E496" s="5"/>
      <c r="F496" s="5"/>
      <c r="G496" s="5"/>
      <c r="H496" s="5"/>
      <c r="I496" s="5"/>
      <c r="J496" s="5"/>
      <c r="K496" s="5"/>
      <c r="L496" s="5"/>
      <c r="M496" s="5"/>
      <c r="N496" s="5"/>
      <c r="O496" s="5"/>
      <c r="P496" s="5"/>
      <c r="Q496" s="5"/>
      <c r="R496" s="5"/>
      <c r="S496" s="5"/>
      <c r="T496" s="5"/>
      <c r="U496" s="5"/>
      <c r="V496" s="5"/>
      <c r="W496" s="5"/>
      <c r="X496" s="5"/>
      <c r="Y496" s="5"/>
      <c r="Z496" s="5"/>
    </row>
    <row r="497" spans="1:26" ht="12.5" x14ac:dyDescent="0.25">
      <c r="A497" s="5" t="s">
        <v>959</v>
      </c>
      <c r="B497" s="5" t="str">
        <f ca="1">IFERROR(__xludf.DUMMYFUNCTION("AI(""Fill an appropriate value for this cell based on the table context"")"),"Muddy, murky, or violently agitated")</f>
        <v>Muddy, murky, or violently agitated</v>
      </c>
      <c r="C497" s="5" t="str">
        <f ca="1">IFERROR(__xludf.DUMMYFUNCTION("AI(""Fill an appropriate value for this cell based on the table context"")"),"muddy, turbid, murky")</f>
        <v>muddy, turbid, murky</v>
      </c>
      <c r="D497" s="5" t="str">
        <f ca="1">IFERROR(__xludf.DUMMYFUNCTION("AI(""Fill an appropriate value for this cell based on the table context"")"),"The roily waters of the flooded river washed away the small wooden bridge.")</f>
        <v>The roily waters of the flooded river washed away the small wooden bridge.</v>
      </c>
      <c r="E497" s="5"/>
      <c r="F497" s="5"/>
      <c r="G497" s="5"/>
      <c r="H497" s="5"/>
      <c r="I497" s="5"/>
      <c r="J497" s="5"/>
      <c r="K497" s="5"/>
      <c r="L497" s="5"/>
      <c r="M497" s="5"/>
      <c r="N497" s="5"/>
      <c r="O497" s="5"/>
      <c r="P497" s="5"/>
      <c r="Q497" s="5"/>
      <c r="R497" s="5"/>
      <c r="S497" s="5"/>
      <c r="T497" s="5"/>
      <c r="U497" s="5"/>
      <c r="V497" s="5"/>
      <c r="W497" s="5"/>
      <c r="X497" s="5"/>
      <c r="Y497" s="5"/>
      <c r="Z497" s="5"/>
    </row>
    <row r="498" spans="1:26" ht="12.5" x14ac:dyDescent="0.25">
      <c r="A498" s="5" t="s">
        <v>960</v>
      </c>
      <c r="B498" s="5" t="str">
        <f ca="1">IFERROR(__xludf.DUMMYFUNCTION("AI(""Fill an appropriate value for this cell based on the table context"")"),"Cloudy, muddy, or thick with sediment")</f>
        <v>Cloudy, muddy, or thick with sediment</v>
      </c>
      <c r="C498" s="5" t="str">
        <f ca="1">IFERROR(__xludf.DUMMYFUNCTION("AI(""Fill an appropriate value for this cell based on the table context"")"),"murky, muddy, cloudy")</f>
        <v>murky, muddy, cloudy</v>
      </c>
      <c r="D498" s="5" t="str">
        <f ca="1">IFERROR(__xludf.DUMMYFUNCTION("AI(""Fill an appropriate value for this cell based on the table context"")"),"The lake remained turbid for days after the heavy storm stirred up the mud.")</f>
        <v>The lake remained turbid for days after the heavy storm stirred up the mud.</v>
      </c>
      <c r="E498" s="5"/>
      <c r="F498" s="5"/>
      <c r="G498" s="5"/>
      <c r="H498" s="5"/>
      <c r="I498" s="5"/>
      <c r="J498" s="5"/>
      <c r="K498" s="5"/>
      <c r="L498" s="5"/>
      <c r="M498" s="5"/>
      <c r="N498" s="5"/>
      <c r="O498" s="5"/>
      <c r="P498" s="5"/>
      <c r="Q498" s="5"/>
      <c r="R498" s="5"/>
      <c r="S498" s="5"/>
      <c r="T498" s="5"/>
      <c r="U498" s="5"/>
      <c r="V498" s="5"/>
      <c r="W498" s="5"/>
      <c r="X498" s="5"/>
      <c r="Y498" s="5"/>
      <c r="Z498" s="5"/>
    </row>
    <row r="499" spans="1:26" ht="12.5" x14ac:dyDescent="0.25">
      <c r="A499" s="5" t="s">
        <v>961</v>
      </c>
      <c r="B499" s="5" t="str">
        <f ca="1">IFERROR(__xludf.DUMMYFUNCTION("AI(""Fill an appropriate value for this cell based on the table context"")"),"Having a pleasantly sharp or appetizing flavor")</f>
        <v>Having a pleasantly sharp or appetizing flavor</v>
      </c>
      <c r="C499" s="5" t="str">
        <f ca="1">IFERROR(__xludf.DUMMYFUNCTION("AI(""Fill an appropriate value for this cell based on the table context"")"),"spicy, pungent, zesty")</f>
        <v>spicy, pungent, zesty</v>
      </c>
      <c r="D499" s="5" t="str">
        <f ca="1">IFERROR(__xludf.DUMMYFUNCTION("AI(""Fill an appropriate value for this cell based on the table context"")"),"The sauce added a piquant flavor to the otherwise bland dish.")</f>
        <v>The sauce added a piquant flavor to the otherwise bland dish.</v>
      </c>
      <c r="E499" s="5"/>
      <c r="F499" s="5"/>
      <c r="G499" s="5"/>
      <c r="H499" s="5"/>
      <c r="I499" s="5"/>
      <c r="J499" s="5"/>
      <c r="K499" s="5"/>
      <c r="L499" s="5"/>
      <c r="M499" s="5"/>
      <c r="N499" s="5"/>
      <c r="O499" s="5"/>
      <c r="P499" s="5"/>
      <c r="Q499" s="5"/>
      <c r="R499" s="5"/>
      <c r="S499" s="5"/>
      <c r="T499" s="5"/>
      <c r="U499" s="5"/>
      <c r="V499" s="5"/>
      <c r="W499" s="5"/>
      <c r="X499" s="5"/>
      <c r="Y499" s="5"/>
      <c r="Z499" s="5"/>
    </row>
    <row r="500" spans="1:26" ht="12.5" x14ac:dyDescent="0.25">
      <c r="A500" s="5" t="s">
        <v>962</v>
      </c>
      <c r="B500" s="5" t="str">
        <f ca="1">IFERROR(__xludf.DUMMYFUNCTION("AI(""Fill an appropriate value for this cell based on the table context"")"),"Having little or no money")</f>
        <v>Having little or no money</v>
      </c>
      <c r="C500" s="5" t="str">
        <f ca="1">IFERROR(__xludf.DUMMYFUNCTION("AI(""Fill an appropriate value for this cell based on the table context"")"),"penniless, poor, impoverished")</f>
        <v>penniless, poor, impoverished</v>
      </c>
      <c r="D500" s="5" t="str">
        <f ca="1">IFERROR(__xludf.DUMMYFUNCTION("AI(""Fill an appropriate value for this cell based on the table context"")"),"The impecunious artist struggled to buy basic supplies like canvas and paint.")</f>
        <v>The impecunious artist struggled to buy basic supplies like canvas and paint.</v>
      </c>
      <c r="E500" s="5"/>
      <c r="F500" s="5"/>
      <c r="G500" s="5"/>
      <c r="H500" s="5"/>
      <c r="I500" s="5"/>
      <c r="J500" s="5"/>
      <c r="K500" s="5"/>
      <c r="L500" s="5"/>
      <c r="M500" s="5"/>
      <c r="N500" s="5"/>
      <c r="O500" s="5"/>
      <c r="P500" s="5"/>
      <c r="Q500" s="5"/>
      <c r="R500" s="5"/>
      <c r="S500" s="5"/>
      <c r="T500" s="5"/>
      <c r="U500" s="5"/>
      <c r="V500" s="5"/>
      <c r="W500" s="5"/>
      <c r="X500" s="5"/>
      <c r="Y500" s="5"/>
      <c r="Z500" s="5"/>
    </row>
    <row r="501" spans="1:26" ht="12.5" x14ac:dyDescent="0.25">
      <c r="A501" s="5" t="s">
        <v>963</v>
      </c>
      <c r="B501" s="5" t="str">
        <f ca="1">IFERROR(__xludf.DUMMYFUNCTION("AI(""Fill an appropriate value for this cell based on the table context"")"),"The highest point or peak of perfection")</f>
        <v>The highest point or peak of perfection</v>
      </c>
      <c r="C501" s="5" t="str">
        <f ca="1">IFERROR(__xludf.DUMMYFUNCTION("AI(""Fill an appropriate value for this cell based on the table context"")"),"pinnacle, peak, zenith")</f>
        <v>pinnacle, peak, zenith</v>
      </c>
      <c r="D501" s="5" t="str">
        <f ca="1">IFERROR(__xludf.DUMMYFUNCTION("AI(""Fill an appropriate value for this cell based on the table context"")"),"Winning the Nobel Prize was the acme of her scientific career.")</f>
        <v>Winning the Nobel Prize was the acme of her scientific career.</v>
      </c>
      <c r="E501" s="5"/>
      <c r="F501" s="5"/>
      <c r="G501" s="5"/>
      <c r="H501" s="5"/>
      <c r="I501" s="5"/>
      <c r="J501" s="5"/>
      <c r="K501" s="5"/>
      <c r="L501" s="5"/>
      <c r="M501" s="5"/>
      <c r="N501" s="5"/>
      <c r="O501" s="5"/>
      <c r="P501" s="5"/>
      <c r="Q501" s="5"/>
      <c r="R501" s="5"/>
      <c r="S501" s="5"/>
      <c r="T501" s="5"/>
      <c r="U501" s="5"/>
      <c r="V501" s="5"/>
      <c r="W501" s="5"/>
      <c r="X501" s="5"/>
      <c r="Y501" s="5"/>
      <c r="Z501" s="5"/>
    </row>
    <row r="502" spans="1:26" ht="12.5" x14ac:dyDescent="0.25">
      <c r="A502" s="5" t="s">
        <v>964</v>
      </c>
      <c r="B502" s="5" t="str">
        <f ca="1">IFERROR(__xludf.DUMMYFUNCTION("AI(""Fill an appropriate value for this cell based on the table context"")"),"Block, close, or obstruct an opening or passage")</f>
        <v>Block, close, or obstruct an opening or passage</v>
      </c>
      <c r="C502" s="5" t="str">
        <f ca="1">IFERROR(__xludf.DUMMYFUNCTION("AI(""Fill an appropriate value for this cell based on the table context"")"),"block, obstruct, clog")</f>
        <v>block, obstruct, clog</v>
      </c>
      <c r="D502" s="5" t="str">
        <f ca="1">IFERROR(__xludf.DUMMYFUNCTION("AI(""Fill an appropriate value for this cell based on the table context"")"),"A thick layer of clouds began to occlude the light of the full moon.")</f>
        <v>A thick layer of clouds began to occlude the light of the full moon.</v>
      </c>
      <c r="E502" s="5"/>
      <c r="F502" s="5"/>
      <c r="G502" s="5"/>
      <c r="H502" s="5"/>
      <c r="I502" s="5"/>
      <c r="J502" s="5"/>
      <c r="K502" s="5"/>
      <c r="L502" s="5"/>
      <c r="M502" s="5"/>
      <c r="N502" s="5"/>
      <c r="O502" s="5"/>
      <c r="P502" s="5"/>
      <c r="Q502" s="5"/>
      <c r="R502" s="5"/>
      <c r="S502" s="5"/>
      <c r="T502" s="5"/>
      <c r="U502" s="5"/>
      <c r="V502" s="5"/>
      <c r="W502" s="5"/>
      <c r="X502" s="5"/>
      <c r="Y502" s="5"/>
      <c r="Z502" s="5"/>
    </row>
    <row r="503" spans="1:26" ht="12.5" x14ac:dyDescent="0.25">
      <c r="A503" s="5" t="s">
        <v>965</v>
      </c>
      <c r="B503" s="5" t="str">
        <f ca="1">IFERROR(__xludf.DUMMYFUNCTION("AI(""Fill an appropriate value for this cell based on the table context"")"),"Humor or lightheartedness in a serious matter")</f>
        <v>Humor or lightheartedness in a serious matter</v>
      </c>
      <c r="C503" s="5" t="str">
        <f ca="1">IFERROR(__xludf.DUMMYFUNCTION("AI(""Fill an appropriate value for this cell based on the table context"")"),"frivolity, lightness, flippancy")</f>
        <v>frivolity, lightness, flippancy</v>
      </c>
      <c r="D503" s="5" t="str">
        <f ca="1">IFERROR(__xludf.DUMMYFUNCTION("AI(""Fill an appropriate value for this cell based on the table context"")"),"His quick jokes brought a brief moment of levity to the serious meeting.")</f>
        <v>His quick jokes brought a brief moment of levity to the serious meeting.</v>
      </c>
      <c r="E503" s="5"/>
      <c r="F503" s="5"/>
      <c r="G503" s="5"/>
      <c r="H503" s="5"/>
      <c r="I503" s="5"/>
      <c r="J503" s="5"/>
      <c r="K503" s="5"/>
      <c r="L503" s="5"/>
      <c r="M503" s="5"/>
      <c r="N503" s="5"/>
      <c r="O503" s="5"/>
      <c r="P503" s="5"/>
      <c r="Q503" s="5"/>
      <c r="R503" s="5"/>
      <c r="S503" s="5"/>
      <c r="T503" s="5"/>
      <c r="U503" s="5"/>
      <c r="V503" s="5"/>
      <c r="W503" s="5"/>
      <c r="X503" s="5"/>
      <c r="Y503" s="5"/>
      <c r="Z503" s="5"/>
    </row>
    <row r="504" spans="1:26" ht="12.5" x14ac:dyDescent="0.25">
      <c r="A504" s="5" t="s">
        <v>966</v>
      </c>
      <c r="B504" s="5" t="str">
        <f ca="1">IFERROR(__xludf.DUMMYFUNCTION("AI(""Fill an appropriate value for this cell based on the table context"")"),"The quality of being lively and animated")</f>
        <v>The quality of being lively and animated</v>
      </c>
      <c r="C504" s="5" t="str">
        <f ca="1">IFERROR(__xludf.DUMMYFUNCTION("AI(""Fill an appropriate value for this cell based on the table context"")"),"liveliness, animation, energy")</f>
        <v>liveliness, animation, energy</v>
      </c>
      <c r="D504" s="5" t="str">
        <f ca="1">IFERROR(__xludf.DUMMYFUNCTION("AI(""Fill an appropriate value for this cell based on the table context"")"),"Her warmth and natural vivacity made her the life of every party.")</f>
        <v>Her warmth and natural vivacity made her the life of every party.</v>
      </c>
      <c r="E504" s="5"/>
      <c r="F504" s="5"/>
      <c r="G504" s="5"/>
      <c r="H504" s="5"/>
      <c r="I504" s="5"/>
      <c r="J504" s="5"/>
      <c r="K504" s="5"/>
      <c r="L504" s="5"/>
      <c r="M504" s="5"/>
      <c r="N504" s="5"/>
      <c r="O504" s="5"/>
      <c r="P504" s="5"/>
      <c r="Q504" s="5"/>
      <c r="R504" s="5"/>
      <c r="S504" s="5"/>
      <c r="T504" s="5"/>
      <c r="U504" s="5"/>
      <c r="V504" s="5"/>
      <c r="W504" s="5"/>
      <c r="X504" s="5"/>
      <c r="Y504" s="5"/>
      <c r="Z504" s="5"/>
    </row>
    <row r="505" spans="1:26" ht="12.5" x14ac:dyDescent="0.25">
      <c r="A505" s="5" t="s">
        <v>967</v>
      </c>
      <c r="B505" s="5" t="str">
        <f ca="1">IFERROR(__xludf.DUMMYFUNCTION("AI(""Fill an appropriate value for this cell based on the table context"")"),"Extreme amusement and noisy laughter")</f>
        <v>Extreme amusement and noisy laughter</v>
      </c>
      <c r="C505" s="5" t="str">
        <f ca="1">IFERROR(__xludf.DUMMYFUNCTION("AI(""Fill an appropriate value for this cell based on the table context"")"),"merriment, mirth, glee")</f>
        <v>merriment, mirth, glee</v>
      </c>
      <c r="D505" s="5" t="str">
        <f ca="1">IFERROR(__xludf.DUMMYFUNCTION("AI(""Fill an appropriate value for this cell based on the table context"")"),"The comedian's hilarious routine filled the theater with endless hilarity.")</f>
        <v>The comedian's hilarious routine filled the theater with endless hilarity.</v>
      </c>
      <c r="E505" s="5"/>
      <c r="F505" s="5"/>
      <c r="G505" s="5"/>
      <c r="H505" s="5"/>
      <c r="I505" s="5"/>
      <c r="J505" s="5"/>
      <c r="K505" s="5"/>
      <c r="L505" s="5"/>
      <c r="M505" s="5"/>
      <c r="N505" s="5"/>
      <c r="O505" s="5"/>
      <c r="P505" s="5"/>
      <c r="Q505" s="5"/>
      <c r="R505" s="5"/>
      <c r="S505" s="5"/>
      <c r="T505" s="5"/>
      <c r="U505" s="5"/>
      <c r="V505" s="5"/>
      <c r="W505" s="5"/>
      <c r="X505" s="5"/>
      <c r="Y505" s="5"/>
      <c r="Z505" s="5"/>
    </row>
    <row r="506" spans="1:26" ht="12.5" x14ac:dyDescent="0.25">
      <c r="A506" s="5" t="s">
        <v>968</v>
      </c>
      <c r="B506" s="5" t="str">
        <f ca="1">IFERROR(__xludf.DUMMYFUNCTION("AI(""Fill an appropriate value for this cell based on the table context"")"),"Freedom from narrow restrictions or limits")</f>
        <v>Freedom from narrow restrictions or limits</v>
      </c>
      <c r="C506" s="5" t="str">
        <f ca="1">IFERROR(__xludf.DUMMYFUNCTION("AI(""Fill an appropriate value for this cell based on the table context"")"),"leeway, freedom, scope")</f>
        <v>leeway, freedom, scope</v>
      </c>
      <c r="D506" s="5" t="str">
        <f ca="1">IFERROR(__xludf.DUMMYFUNCTION("AI(""Fill an appropriate value for this cell based on the table context"")"),"The new policy gives teachers greater latitude in designing their curricula.")</f>
        <v>The new policy gives teachers greater latitude in designing their curricula.</v>
      </c>
      <c r="E506" s="5"/>
      <c r="F506" s="5"/>
      <c r="G506" s="5"/>
      <c r="H506" s="5"/>
      <c r="I506" s="5"/>
      <c r="J506" s="5"/>
      <c r="K506" s="5"/>
      <c r="L506" s="5"/>
      <c r="M506" s="5"/>
      <c r="N506" s="5"/>
      <c r="O506" s="5"/>
      <c r="P506" s="5"/>
      <c r="Q506" s="5"/>
      <c r="R506" s="5"/>
      <c r="S506" s="5"/>
      <c r="T506" s="5"/>
      <c r="U506" s="5"/>
      <c r="V506" s="5"/>
      <c r="W506" s="5"/>
      <c r="X506" s="5"/>
      <c r="Y506" s="5"/>
      <c r="Z506" s="5"/>
    </row>
    <row r="507" spans="1:26" ht="12.5" x14ac:dyDescent="0.25">
      <c r="A507" s="5" t="s">
        <v>969</v>
      </c>
      <c r="B507" s="5" t="str">
        <f ca="1">IFERROR(__xludf.DUMMYFUNCTION("AI(""Fill an appropriate value for this cell based on the table context"")"),"Impossible to avoid or escape")</f>
        <v>Impossible to avoid or escape</v>
      </c>
      <c r="C507" s="5" t="str">
        <f ca="1">IFERROR(__xludf.DUMMYFUNCTION("AI(""Fill an appropriate value for this cell based on the table context"")"),"inevitable, inescapable, unavoidable")</f>
        <v>inevitable, inescapable, unavoidable</v>
      </c>
      <c r="D507" s="5" t="str">
        <f ca="1">IFERROR(__xludf.DUMMYFUNCTION("AI(""Fill an appropriate value for this cell based on the table context"")"),"Despite their best efforts to delay the changes, the eventual outcome felt ineluctable.")</f>
        <v>Despite their best efforts to delay the changes, the eventual outcome felt ineluctable.</v>
      </c>
      <c r="E507" s="5"/>
      <c r="F507" s="5"/>
      <c r="G507" s="5"/>
      <c r="H507" s="5"/>
      <c r="I507" s="5"/>
      <c r="J507" s="5"/>
      <c r="K507" s="5"/>
      <c r="L507" s="5"/>
      <c r="M507" s="5"/>
      <c r="N507" s="5"/>
      <c r="O507" s="5"/>
      <c r="P507" s="5"/>
      <c r="Q507" s="5"/>
      <c r="R507" s="5"/>
      <c r="S507" s="5"/>
      <c r="T507" s="5"/>
      <c r="U507" s="5"/>
      <c r="V507" s="5"/>
      <c r="W507" s="5"/>
      <c r="X507" s="5"/>
      <c r="Y507" s="5"/>
      <c r="Z507" s="5"/>
    </row>
    <row r="508" spans="1:26" ht="12.5" x14ac:dyDescent="0.25">
      <c r="A508" s="5" t="s">
        <v>970</v>
      </c>
      <c r="B508" s="5" t="str">
        <f ca="1">IFERROR(__xludf.DUMMYFUNCTION("AI(""Fill an appropriate value for this cell based on the table context"")"),"A complaint or expression of grief")</f>
        <v>A complaint or expression of grief</v>
      </c>
      <c r="C508" s="5" t="str">
        <f ca="1">IFERROR(__xludf.DUMMYFUNCTION("AI(""Fill an appropriate value for this cell based on the table context"")"),"complaint, lament, grievance")</f>
        <v>complaint, lament, grievance</v>
      </c>
      <c r="D508" s="5" t="str">
        <f ca="1">IFERROR(__xludf.DUMMYFUNCTION("AI(""Fill an appropriate value for this cell based on the table context"")"),"The singer released a heartbreaking plaint reflecting on the pain of lost love.")</f>
        <v>The singer released a heartbreaking plaint reflecting on the pain of lost love.</v>
      </c>
      <c r="E508" s="5"/>
      <c r="F508" s="5"/>
      <c r="G508" s="5"/>
      <c r="H508" s="5"/>
      <c r="I508" s="5"/>
      <c r="J508" s="5"/>
      <c r="K508" s="5"/>
      <c r="L508" s="5"/>
      <c r="M508" s="5"/>
      <c r="N508" s="5"/>
      <c r="O508" s="5"/>
      <c r="P508" s="5"/>
      <c r="Q508" s="5"/>
      <c r="R508" s="5"/>
      <c r="S508" s="5"/>
      <c r="T508" s="5"/>
      <c r="U508" s="5"/>
      <c r="V508" s="5"/>
      <c r="W508" s="5"/>
      <c r="X508" s="5"/>
      <c r="Y508" s="5"/>
      <c r="Z508" s="5"/>
    </row>
    <row r="509" spans="1:26" ht="12.5" x14ac:dyDescent="0.25">
      <c r="A509" s="5" t="s">
        <v>971</v>
      </c>
      <c r="B509" s="5" t="str">
        <f ca="1">IFERROR(__xludf.DUMMYFUNCTION("AI(""Fill an appropriate value for this cell based on the table context"")"),"The attribution of a fault or crime")</f>
        <v>The attribution of a fault or crime</v>
      </c>
      <c r="C509" s="5" t="str">
        <f ca="1">IFERROR(__xludf.DUMMYFUNCTION("AI(""Fill an appropriate value for this cell based on the table context"")"),"accusation, insinuation, attribution")</f>
        <v>accusation, insinuation, attribution</v>
      </c>
      <c r="D509" s="5" t="str">
        <f ca="1">IFERROR(__xludf.DUMMYFUNCTION("AI(""Fill an appropriate value for this cell based on the table context"")"),"She strongly rejected any imputation of dishonesty regarding her research data.")</f>
        <v>She strongly rejected any imputation of dishonesty regarding her research data.</v>
      </c>
      <c r="E509" s="5"/>
      <c r="F509" s="5"/>
      <c r="G509" s="5"/>
      <c r="H509" s="5"/>
      <c r="I509" s="5"/>
      <c r="J509" s="5"/>
      <c r="K509" s="5"/>
      <c r="L509" s="5"/>
      <c r="M509" s="5"/>
      <c r="N509" s="5"/>
      <c r="O509" s="5"/>
      <c r="P509" s="5"/>
      <c r="Q509" s="5"/>
      <c r="R509" s="5"/>
      <c r="S509" s="5"/>
      <c r="T509" s="5"/>
      <c r="U509" s="5"/>
      <c r="V509" s="5"/>
      <c r="W509" s="5"/>
      <c r="X509" s="5"/>
      <c r="Y509" s="5"/>
      <c r="Z509" s="5"/>
    </row>
    <row r="510" spans="1:26" ht="12.5" x14ac:dyDescent="0.25">
      <c r="A510" s="5" t="s">
        <v>972</v>
      </c>
      <c r="B510" s="5" t="str">
        <f ca="1">IFERROR(__xludf.DUMMYFUNCTION("AI(""Fill an appropriate value for this cell based on the table context"")"),"Fond of the company of others; sociable")</f>
        <v>Fond of the company of others; sociable</v>
      </c>
      <c r="C510" s="5" t="str">
        <f ca="1">IFERROR(__xludf.DUMMYFUNCTION("AI(""Fill an appropriate value for this cell based on the table context"")"),"outgoing, sociable, friendly")</f>
        <v>outgoing, sociable, friendly</v>
      </c>
      <c r="D510" s="5" t="str">
        <f ca="1">IFERROR(__xludf.DUMMYFUNCTION("AI(""Fill an appropriate value for this cell based on the table context"")"),"Being naturally gregarious, he effortlessly started conversations with everyone in the room.")</f>
        <v>Being naturally gregarious, he effortlessly started conversations with everyone in the room.</v>
      </c>
      <c r="E510" s="5"/>
      <c r="F510" s="5"/>
      <c r="G510" s="5"/>
      <c r="H510" s="5"/>
      <c r="I510" s="5"/>
      <c r="J510" s="5"/>
      <c r="K510" s="5"/>
      <c r="L510" s="5"/>
      <c r="M510" s="5"/>
      <c r="N510" s="5"/>
      <c r="O510" s="5"/>
      <c r="P510" s="5"/>
      <c r="Q510" s="5"/>
      <c r="R510" s="5"/>
      <c r="S510" s="5"/>
      <c r="T510" s="5"/>
      <c r="U510" s="5"/>
      <c r="V510" s="5"/>
      <c r="W510" s="5"/>
      <c r="X510" s="5"/>
      <c r="Y510" s="5"/>
      <c r="Z510" s="5"/>
    </row>
    <row r="511" spans="1:26" ht="12.5" x14ac:dyDescent="0.25">
      <c r="A511" s="5" t="s">
        <v>973</v>
      </c>
      <c r="B511" s="5" t="str">
        <f ca="1">IFERROR(__xludf.DUMMYFUNCTION("AI(""Fill an appropriate value for this cell based on the table context"")"),"Ask someone earnestly or urgently to do something")</f>
        <v>Ask someone earnestly or urgently to do something</v>
      </c>
      <c r="C511" s="5" t="str">
        <f ca="1">IFERROR(__xludf.DUMMYFUNCTION("AI(""Fill an appropriate value for this cell based on the table context"")"),"beg, implore, beseech")</f>
        <v>beg, implore, beseech</v>
      </c>
      <c r="D511" s="5" t="str">
        <f ca="1">IFERROR(__xludf.DUMMYFUNCTION("AI(""Fill an appropriate value for this cell based on the table context"")"),"The desperate villagers gathered to entreat the king for food during the famine.")</f>
        <v>The desperate villagers gathered to entreat the king for food during the famine.</v>
      </c>
      <c r="E511" s="5"/>
      <c r="F511" s="5"/>
      <c r="G511" s="5"/>
      <c r="H511" s="5"/>
      <c r="I511" s="5"/>
      <c r="J511" s="5"/>
      <c r="K511" s="5"/>
      <c r="L511" s="5"/>
      <c r="M511" s="5"/>
      <c r="N511" s="5"/>
      <c r="O511" s="5"/>
      <c r="P511" s="5"/>
      <c r="Q511" s="5"/>
      <c r="R511" s="5"/>
      <c r="S511" s="5"/>
      <c r="T511" s="5"/>
      <c r="U511" s="5"/>
      <c r="V511" s="5"/>
      <c r="W511" s="5"/>
      <c r="X511" s="5"/>
      <c r="Y511" s="5"/>
      <c r="Z511" s="5"/>
    </row>
    <row r="512" spans="1:26" ht="12.5" x14ac:dyDescent="0.25">
      <c r="A512" s="5" t="s">
        <v>974</v>
      </c>
      <c r="B512" s="5" t="str">
        <f ca="1">IFERROR(__xludf.DUMMYFUNCTION("AI(""Fill an appropriate value for this cell based on the table context"")"),"Have an effect or impact, especially a negative one")</f>
        <v>Have an effect or impact, especially a negative one</v>
      </c>
      <c r="C512" s="5" t="str">
        <f ca="1">IFERROR(__xludf.DUMMYFUNCTION("AI(""Fill an appropriate value for this cell based on the table context"")"),"encroach, infringe, intrude")</f>
        <v>encroach, infringe, intrude</v>
      </c>
      <c r="D512" s="5" t="str">
        <f ca="1">IFERROR(__xludf.DUMMYFUNCTION("AI(""Fill an appropriate value for this cell based on the table context"")"),"Construction noise from next door started to impinge on her ability to concentrate.")</f>
        <v>Construction noise from next door started to impinge on her ability to concentrate.</v>
      </c>
      <c r="E512" s="5"/>
      <c r="F512" s="5"/>
      <c r="G512" s="5"/>
      <c r="H512" s="5"/>
      <c r="I512" s="5"/>
      <c r="J512" s="5"/>
      <c r="K512" s="5"/>
      <c r="L512" s="5"/>
      <c r="M512" s="5"/>
      <c r="N512" s="5"/>
      <c r="O512" s="5"/>
      <c r="P512" s="5"/>
      <c r="Q512" s="5"/>
      <c r="R512" s="5"/>
      <c r="S512" s="5"/>
      <c r="T512" s="5"/>
      <c r="U512" s="5"/>
      <c r="V512" s="5"/>
      <c r="W512" s="5"/>
      <c r="X512" s="5"/>
      <c r="Y512" s="5"/>
      <c r="Z512" s="5"/>
    </row>
    <row r="513" spans="1:26" ht="12.5" x14ac:dyDescent="0.25">
      <c r="A513" s="5" t="s">
        <v>975</v>
      </c>
      <c r="B513" s="5" t="str">
        <f ca="1">IFERROR(__xludf.DUMMYFUNCTION("AI(""Fill an appropriate value for this cell based on the table context"")"),"Excessive confidence or boldness; rashness")</f>
        <v>Excessive confidence or boldness; rashness</v>
      </c>
      <c r="C513" s="5" t="str">
        <f ca="1">IFERROR(__xludf.DUMMYFUNCTION("AI(""Fill an appropriate value for this cell based on the table context"")"),"audacity, boldness, nerve")</f>
        <v>audacity, boldness, nerve</v>
      </c>
      <c r="D513" s="5" t="str">
        <f ca="1">IFERROR(__xludf.DUMMYFUNCTION("AI(""Fill an appropriate value for this cell based on the table context"")"),"No one in the office had the temerity to question the CEO's controversial decision.")</f>
        <v>No one in the office had the temerity to question the CEO's controversial decision.</v>
      </c>
      <c r="E513" s="5"/>
      <c r="F513" s="5"/>
      <c r="G513" s="5"/>
      <c r="H513" s="5"/>
      <c r="I513" s="5"/>
      <c r="J513" s="5"/>
      <c r="K513" s="5"/>
      <c r="L513" s="5"/>
      <c r="M513" s="5"/>
      <c r="N513" s="5"/>
      <c r="O513" s="5"/>
      <c r="P513" s="5"/>
      <c r="Q513" s="5"/>
      <c r="R513" s="5"/>
      <c r="S513" s="5"/>
      <c r="T513" s="5"/>
      <c r="U513" s="5"/>
      <c r="V513" s="5"/>
      <c r="W513" s="5"/>
      <c r="X513" s="5"/>
      <c r="Y513" s="5"/>
      <c r="Z513" s="5"/>
    </row>
    <row r="514" spans="1:26" ht="12.5" x14ac:dyDescent="0.25">
      <c r="A514" s="5" t="s">
        <v>976</v>
      </c>
      <c r="B514" s="5" t="str">
        <f ca="1">IFERROR(__xludf.DUMMYFUNCTION("AI(""Fill an appropriate value for this cell based on the table context"")"),"Insolent or arrogant behavior")</f>
        <v>Insolent or arrogant behavior</v>
      </c>
      <c r="C514" s="5" t="str">
        <f ca="1">IFERROR(__xludf.DUMMYFUNCTION("AI(""Fill an appropriate value for this cell based on the table context"")"),"insolence, impudence, audacity")</f>
        <v>insolence, impudence, audacity</v>
      </c>
      <c r="D514" s="5" t="str">
        <f ca="1">IFERROR(__xludf.DUMMYFUNCTION("AI(""Fill an appropriate value for this cell based on the table context"")"),"He had the effrontery to ask for a pay raise right after getting caught sleeping at his desk.")</f>
        <v>He had the effrontery to ask for a pay raise right after getting caught sleeping at his desk.</v>
      </c>
      <c r="E514" s="5"/>
      <c r="F514" s="5"/>
      <c r="G514" s="5"/>
      <c r="H514" s="5"/>
      <c r="I514" s="5"/>
      <c r="J514" s="5"/>
      <c r="K514" s="5"/>
      <c r="L514" s="5"/>
      <c r="M514" s="5"/>
      <c r="N514" s="5"/>
      <c r="O514" s="5"/>
      <c r="P514" s="5"/>
      <c r="Q514" s="5"/>
      <c r="R514" s="5"/>
      <c r="S514" s="5"/>
      <c r="T514" s="5"/>
      <c r="U514" s="5"/>
      <c r="V514" s="5"/>
      <c r="W514" s="5"/>
      <c r="X514" s="5"/>
      <c r="Y514" s="5"/>
      <c r="Z514" s="5"/>
    </row>
    <row r="515" spans="1:26" ht="12.5" x14ac:dyDescent="0.25">
      <c r="A515" s="5" t="s">
        <v>977</v>
      </c>
      <c r="B515" s="5" t="str">
        <f ca="1">IFERROR(__xludf.DUMMYFUNCTION("AI(""Fill an appropriate value for this cell based on the table context"")"),"Wicked, depraved, or shameful behavior")</f>
        <v>Wicked, depraved, or shameful behavior</v>
      </c>
      <c r="C515" s="5" t="str">
        <f ca="1">IFERROR(__xludf.DUMMYFUNCTION("AI(""Fill an appropriate value for this cell based on the table context"")"),"depravity, wickedness, corruption")</f>
        <v>depravity, wickedness, corruption</v>
      </c>
      <c r="D515" s="5" t="str">
        <f ca="1">IFERROR(__xludf.DUMMYFUNCTION("AI(""Fill an appropriate value for this cell based on the table context"")"),"The politician was forced to resign following public outcry over his moral turpitude.")</f>
        <v>The politician was forced to resign following public outcry over his moral turpitude.</v>
      </c>
      <c r="E515" s="5"/>
      <c r="F515" s="5"/>
      <c r="G515" s="5"/>
      <c r="H515" s="5"/>
      <c r="I515" s="5"/>
      <c r="J515" s="5"/>
      <c r="K515" s="5"/>
      <c r="L515" s="5"/>
      <c r="M515" s="5"/>
      <c r="N515" s="5"/>
      <c r="O515" s="5"/>
      <c r="P515" s="5"/>
      <c r="Q515" s="5"/>
      <c r="R515" s="5"/>
      <c r="S515" s="5"/>
      <c r="T515" s="5"/>
      <c r="U515" s="5"/>
      <c r="V515" s="5"/>
      <c r="W515" s="5"/>
      <c r="X515" s="5"/>
      <c r="Y515" s="5"/>
      <c r="Z515" s="5"/>
    </row>
    <row r="516" spans="1:26" ht="12.5" x14ac:dyDescent="0.25">
      <c r="A516" s="5" t="s">
        <v>978</v>
      </c>
      <c r="B516" s="5" t="str">
        <f ca="1">IFERROR(__xludf.DUMMYFUNCTION("AI(""Fill an appropriate value for this cell based on the table context"")"),"Publicly criticize or ridicule someone or something")</f>
        <v>Publicly criticize or ridicule someone or something</v>
      </c>
      <c r="C516" s="5" t="str">
        <f ca="1">IFERROR(__xludf.DUMMYFUNCTION("AI(""Fill an appropriate value for this cell based on the table context"")"),"satirize, parody, spoof")</f>
        <v>satirize, parody, spoof</v>
      </c>
      <c r="D516" s="5" t="str">
        <f ca="1">IFERROR(__xludf.DUMMYFUNCTION("AI(""Fill an appropriate value for this cell based on the table context"")"),"The comedian loves to lampoon public figures through hilarious late-night sketches.")</f>
        <v>The comedian loves to lampoon public figures through hilarious late-night sketches.</v>
      </c>
      <c r="E516" s="5"/>
      <c r="F516" s="5"/>
      <c r="G516" s="5"/>
      <c r="H516" s="5"/>
      <c r="I516" s="5"/>
      <c r="J516" s="5"/>
      <c r="K516" s="5"/>
      <c r="L516" s="5"/>
      <c r="M516" s="5"/>
      <c r="N516" s="5"/>
      <c r="O516" s="5"/>
      <c r="P516" s="5"/>
      <c r="Q516" s="5"/>
      <c r="R516" s="5"/>
      <c r="S516" s="5"/>
      <c r="T516" s="5"/>
      <c r="U516" s="5"/>
      <c r="V516" s="5"/>
      <c r="W516" s="5"/>
      <c r="X516" s="5"/>
      <c r="Y516" s="5"/>
      <c r="Z516" s="5"/>
    </row>
    <row r="517" spans="1:26" ht="12.5" x14ac:dyDescent="0.25">
      <c r="A517" s="5" t="s">
        <v>979</v>
      </c>
      <c r="B517" s="5" t="str">
        <f ca="1">IFERROR(__xludf.DUMMYFUNCTION("AI(""Fill an appropriate value for this cell based on the table context"")"),"Providing support to primary activities; secondary")</f>
        <v>Providing support to primary activities; secondary</v>
      </c>
      <c r="C517" s="5" t="str">
        <f ca="1">IFERROR(__xludf.DUMMYFUNCTION("AI(""Fill an appropriate value for this cell based on the table context"")"),"auxiliary, secondary, subsidiary")</f>
        <v>auxiliary, secondary, subsidiary</v>
      </c>
      <c r="D517" s="5" t="str">
        <f ca="1">IFERROR(__xludf.DUMMYFUNCTION("AI(""Fill an appropriate value for this cell based on the table context"")"),"In addition to main medical care, the clinic offers ancillary services such as physical therapy.")</f>
        <v>In addition to main medical care, the clinic offers ancillary services such as physical therapy.</v>
      </c>
      <c r="E517" s="5"/>
      <c r="F517" s="5"/>
      <c r="G517" s="5"/>
      <c r="H517" s="5"/>
      <c r="I517" s="5"/>
      <c r="J517" s="5"/>
      <c r="K517" s="5"/>
      <c r="L517" s="5"/>
      <c r="M517" s="5"/>
      <c r="N517" s="5"/>
      <c r="O517" s="5"/>
      <c r="P517" s="5"/>
      <c r="Q517" s="5"/>
      <c r="R517" s="5"/>
      <c r="S517" s="5"/>
      <c r="T517" s="5"/>
      <c r="U517" s="5"/>
      <c r="V517" s="5"/>
      <c r="W517" s="5"/>
      <c r="X517" s="5"/>
      <c r="Y517" s="5"/>
      <c r="Z517" s="5"/>
    </row>
    <row r="518" spans="1:26" ht="12.5" x14ac:dyDescent="0.25">
      <c r="A518" s="5" t="s">
        <v>980</v>
      </c>
      <c r="B518" s="5" t="str">
        <f ca="1">IFERROR(__xludf.DUMMYFUNCTION("AI(""Fill an appropriate value for this cell based on the table context"")"),"an excessive or overabundant amount")</f>
        <v>an excessive or overabundant amount</v>
      </c>
      <c r="C518" s="5" t="str">
        <f ca="1">IFERROR(__xludf.DUMMYFUNCTION("AI(""Fill an appropriate value for this cell based on the table context"")"),"excess, glut, surplus")</f>
        <v>excess, glut, surplus</v>
      </c>
      <c r="D518" s="5" t="str">
        <f ca="1">IFERROR(__xludf.DUMMYFUNCTION("AI(""Fill an appropriate value for this cell based on the table context"")"),"The buffet offered a surfeit of rich desserts that overwhelmed the guests.")</f>
        <v>The buffet offered a surfeit of rich desserts that overwhelmed the guests.</v>
      </c>
      <c r="E518" s="5"/>
      <c r="F518" s="5"/>
      <c r="G518" s="5"/>
      <c r="H518" s="5"/>
      <c r="I518" s="5"/>
      <c r="J518" s="5"/>
      <c r="K518" s="5"/>
      <c r="L518" s="5"/>
      <c r="M518" s="5"/>
      <c r="N518" s="5"/>
      <c r="O518" s="5"/>
      <c r="P518" s="5"/>
      <c r="Q518" s="5"/>
      <c r="R518" s="5"/>
      <c r="S518" s="5"/>
      <c r="T518" s="5"/>
      <c r="U518" s="5"/>
      <c r="V518" s="5"/>
      <c r="W518" s="5"/>
      <c r="X518" s="5"/>
      <c r="Y518" s="5"/>
      <c r="Z518" s="5"/>
    </row>
    <row r="519" spans="1:26" ht="12.5" x14ac:dyDescent="0.25">
      <c r="A519" s="5" t="s">
        <v>981</v>
      </c>
      <c r="B519" s="5" t="str">
        <f ca="1">IFERROR(__xludf.DUMMYFUNCTION("AI(""Fill an appropriate value for this cell based on the table context"")"),"stop or restrict the flow of a liquid")</f>
        <v>stop or restrict the flow of a liquid</v>
      </c>
      <c r="C519" s="5" t="str">
        <f ca="1">IFERROR(__xludf.DUMMYFUNCTION("AI(""Fill an appropriate value for this cell based on the table context"")"),"stem, check, stop")</f>
        <v>stem, check, stop</v>
      </c>
      <c r="D519" s="5" t="str">
        <f ca="1">IFERROR(__xludf.DUMMYFUNCTION("AI(""Fill an appropriate value for this cell based on the table context"")"),"The paramedic worked quickly to stanch the flow of blood from the injury.")</f>
        <v>The paramedic worked quickly to stanch the flow of blood from the injury.</v>
      </c>
      <c r="E519" s="5"/>
      <c r="F519" s="5"/>
      <c r="G519" s="5"/>
      <c r="H519" s="5"/>
      <c r="I519" s="5"/>
      <c r="J519" s="5"/>
      <c r="K519" s="5"/>
      <c r="L519" s="5"/>
      <c r="M519" s="5"/>
      <c r="N519" s="5"/>
      <c r="O519" s="5"/>
      <c r="P519" s="5"/>
      <c r="Q519" s="5"/>
      <c r="R519" s="5"/>
      <c r="S519" s="5"/>
      <c r="T519" s="5"/>
      <c r="U519" s="5"/>
      <c r="V519" s="5"/>
      <c r="W519" s="5"/>
      <c r="X519" s="5"/>
      <c r="Y519" s="5"/>
      <c r="Z519" s="5"/>
    </row>
    <row r="520" spans="1:26" ht="12.5" x14ac:dyDescent="0.25">
      <c r="A520" s="5" t="s">
        <v>982</v>
      </c>
      <c r="B520" s="5" t="str">
        <f ca="1">IFERROR(__xludf.DUMMYFUNCTION("AI(""Fill an appropriate value for this cell based on the table context"")"),"morally degraded, dirty, or vile")</f>
        <v>morally degraded, dirty, or vile</v>
      </c>
      <c r="C520" s="5" t="str">
        <f ca="1">IFERROR(__xludf.DUMMYFUNCTION("AI(""Fill an appropriate value for this cell based on the table context"")"),"squalid, vile, sleazy")</f>
        <v>squalid, vile, sleazy</v>
      </c>
      <c r="D520" s="5" t="str">
        <f ca="1">IFERROR(__xludf.DUMMYFUNCTION("AI(""Fill an appropriate value for this cell based on the table context"")"),"The journalist exposed the sordid truth behind the political campaign.")</f>
        <v>The journalist exposed the sordid truth behind the political campaign.</v>
      </c>
      <c r="E520" s="5"/>
      <c r="F520" s="5"/>
      <c r="G520" s="5"/>
      <c r="H520" s="5"/>
      <c r="I520" s="5"/>
      <c r="J520" s="5"/>
      <c r="K520" s="5"/>
      <c r="L520" s="5"/>
      <c r="M520" s="5"/>
      <c r="N520" s="5"/>
      <c r="O520" s="5"/>
      <c r="P520" s="5"/>
      <c r="Q520" s="5"/>
      <c r="R520" s="5"/>
      <c r="S520" s="5"/>
      <c r="T520" s="5"/>
      <c r="U520" s="5"/>
      <c r="V520" s="5"/>
      <c r="W520" s="5"/>
      <c r="X520" s="5"/>
      <c r="Y520" s="5"/>
      <c r="Z520" s="5"/>
    </row>
    <row r="521" spans="1:26" ht="12.5" x14ac:dyDescent="0.25">
      <c r="A521" s="5" t="s">
        <v>983</v>
      </c>
      <c r="B521" s="5" t="str">
        <f ca="1">IFERROR(__xludf.DUMMYFUNCTION("AI(""Fill an appropriate value for this cell based on the table context"")"),"dishonorable or lacking moral principles")</f>
        <v>dishonorable or lacking moral principles</v>
      </c>
      <c r="C521" s="5" t="str">
        <f ca="1">IFERROR(__xludf.DUMMYFUNCTION("AI(""Fill an appropriate value for this cell based on the table context"")"),"dishonorable, base, shameful")</f>
        <v>dishonorable, base, shameful</v>
      </c>
      <c r="D521" s="5" t="str">
        <f ca="1">IFERROR(__xludf.DUMMYFUNCTION("AI(""Fill an appropriate value for this cell based on the table context"")"),"Driven by ignoble motives, he took credit for his colleague's hard work.")</f>
        <v>Driven by ignoble motives, he took credit for his colleague's hard work.</v>
      </c>
      <c r="E521" s="5"/>
      <c r="F521" s="5"/>
      <c r="G521" s="5"/>
      <c r="H521" s="5"/>
      <c r="I521" s="5"/>
      <c r="J521" s="5"/>
      <c r="K521" s="5"/>
      <c r="L521" s="5"/>
      <c r="M521" s="5"/>
      <c r="N521" s="5"/>
      <c r="O521" s="5"/>
      <c r="P521" s="5"/>
      <c r="Q521" s="5"/>
      <c r="R521" s="5"/>
      <c r="S521" s="5"/>
      <c r="T521" s="5"/>
      <c r="U521" s="5"/>
      <c r="V521" s="5"/>
      <c r="W521" s="5"/>
      <c r="X521" s="5"/>
      <c r="Y521" s="5"/>
      <c r="Z521" s="5"/>
    </row>
    <row r="522" spans="1:26" ht="12.5" x14ac:dyDescent="0.25">
      <c r="A522" s="5" t="s">
        <v>984</v>
      </c>
      <c r="B522" s="5" t="str">
        <f ca="1">IFERROR(__xludf.DUMMYFUNCTION("AI(""Fill an appropriate value for this cell based on the table context"")"),"disreputable, run-down, or sleazy")</f>
        <v>disreputable, run-down, or sleazy</v>
      </c>
      <c r="C522" s="5" t="str">
        <f ca="1">IFERROR(__xludf.DUMMYFUNCTION("AI(""Fill an appropriate value for this cell based on the table context"")"),"squalid, disreputable, sleazy")</f>
        <v>squalid, disreputable, sleazy</v>
      </c>
      <c r="D522" s="5" t="str">
        <f ca="1">IFERROR(__xludf.DUMMYFUNCTION("AI(""Fill an appropriate value for this cell based on the table context"")"),"They avoided walking down the seedy alleyway late at night.")</f>
        <v>They avoided walking down the seedy alleyway late at night.</v>
      </c>
      <c r="E522" s="5"/>
      <c r="F522" s="5"/>
      <c r="G522" s="5"/>
      <c r="H522" s="5"/>
      <c r="I522" s="5"/>
      <c r="J522" s="5"/>
      <c r="K522" s="5"/>
      <c r="L522" s="5"/>
      <c r="M522" s="5"/>
      <c r="N522" s="5"/>
      <c r="O522" s="5"/>
      <c r="P522" s="5"/>
      <c r="Q522" s="5"/>
      <c r="R522" s="5"/>
      <c r="S522" s="5"/>
      <c r="T522" s="5"/>
      <c r="U522" s="5"/>
      <c r="V522" s="5"/>
      <c r="W522" s="5"/>
      <c r="X522" s="5"/>
      <c r="Y522" s="5"/>
      <c r="Z522" s="5"/>
    </row>
    <row r="523" spans="1:26" ht="12.5" x14ac:dyDescent="0.25">
      <c r="A523" s="5" t="s">
        <v>985</v>
      </c>
      <c r="B523" s="5" t="str">
        <f ca="1">IFERROR(__xludf.DUMMYFUNCTION("AI(""Fill an appropriate value for this cell based on the table context"")"),"extremely dirty and unpleasant, especially as a result of neglect or poverty")</f>
        <v>extremely dirty and unpleasant, especially as a result of neglect or poverty</v>
      </c>
      <c r="C523" s="5" t="str">
        <f ca="1">IFERROR(__xludf.DUMMYFUNCTION("AI(""Fill an appropriate value for this cell based on the table context"")"),"filthy, sordid, dirty")</f>
        <v>filthy, sordid, dirty</v>
      </c>
      <c r="D523" s="5" t="str">
        <f ca="1">IFERROR(__xludf.DUMMYFUNCTION("AI(""Fill an appropriate value for this cell based on the table context"")"),"The family was forced to live in squalid conditions after losing their home.")</f>
        <v>The family was forced to live in squalid conditions after losing their home.</v>
      </c>
      <c r="E523" s="5"/>
      <c r="F523" s="5"/>
      <c r="G523" s="5"/>
      <c r="H523" s="5"/>
      <c r="I523" s="5"/>
      <c r="J523" s="5"/>
      <c r="K523" s="5"/>
      <c r="L523" s="5"/>
      <c r="M523" s="5"/>
      <c r="N523" s="5"/>
      <c r="O523" s="5"/>
      <c r="P523" s="5"/>
      <c r="Q523" s="5"/>
      <c r="R523" s="5"/>
      <c r="S523" s="5"/>
      <c r="T523" s="5"/>
      <c r="U523" s="5"/>
      <c r="V523" s="5"/>
      <c r="W523" s="5"/>
      <c r="X523" s="5"/>
      <c r="Y523" s="5"/>
      <c r="Z523" s="5"/>
    </row>
    <row r="524" spans="1:26" ht="12.5" x14ac:dyDescent="0.25">
      <c r="A524" s="5" t="s">
        <v>986</v>
      </c>
      <c r="B524" s="5" t="str">
        <f ca="1">IFERROR(__xludf.DUMMYFUNCTION("AI(""Fill an appropriate value for this cell based on the table context"")"),"disreputable or shady in an appealing way")</f>
        <v>disreputable or shady in an appealing way</v>
      </c>
      <c r="C524" s="5" t="str">
        <f ca="1">IFERROR(__xludf.DUMMYFUNCTION("AI(""Fill an appropriate value for this cell based on the table context"")"),"disreputable, shady, dubious")</f>
        <v>disreputable, shady, dubious</v>
      </c>
      <c r="D524" s="5" t="str">
        <f ca="1">IFERROR(__xludf.DUMMYFUNCTION("AI(""Fill an appropriate value for this cell based on the table context"")"),"The dimly lit speakeasy had a louche charm that drew a bohemian crowd.")</f>
        <v>The dimly lit speakeasy had a louche charm that drew a bohemian crowd.</v>
      </c>
      <c r="E524" s="5"/>
      <c r="F524" s="5"/>
      <c r="G524" s="5"/>
      <c r="H524" s="5"/>
      <c r="I524" s="5"/>
      <c r="J524" s="5"/>
      <c r="K524" s="5"/>
      <c r="L524" s="5"/>
      <c r="M524" s="5"/>
      <c r="N524" s="5"/>
      <c r="O524" s="5"/>
      <c r="P524" s="5"/>
      <c r="Q524" s="5"/>
      <c r="R524" s="5"/>
      <c r="S524" s="5"/>
      <c r="T524" s="5"/>
      <c r="U524" s="5"/>
      <c r="V524" s="5"/>
      <c r="W524" s="5"/>
      <c r="X524" s="5"/>
      <c r="Y524" s="5"/>
      <c r="Z524" s="5"/>
    </row>
    <row r="525" spans="1:26" ht="12.5" x14ac:dyDescent="0.25">
      <c r="A525" s="5" t="s">
        <v>987</v>
      </c>
      <c r="B525" s="5" t="str">
        <f ca="1">IFERROR(__xludf.DUMMYFUNCTION("AI(""Fill an appropriate value for this cell based on the table context"")"),"a position requiring little to no work that provides an income")</f>
        <v>a position requiring little to no work that provides an income</v>
      </c>
      <c r="C525" s="5" t="str">
        <f ca="1">IFERROR(__xludf.DUMMYFUNCTION("AI(""Fill an appropriate value for this cell based on the table context"")"),"easy job, soft option, snap")</f>
        <v>easy job, soft option, snap</v>
      </c>
      <c r="D525" s="5" t="str">
        <f ca="1">IFERROR(__xludf.DUMMYFUNCTION("AI(""Fill an appropriate value for this cell based on the table context"")"),"The administrative position was a complete sinecure, requiring minimal effort for a high salary.")</f>
        <v>The administrative position was a complete sinecure, requiring minimal effort for a high salary.</v>
      </c>
      <c r="E525" s="5"/>
      <c r="F525" s="5"/>
      <c r="G525" s="5"/>
      <c r="H525" s="5"/>
      <c r="I525" s="5"/>
      <c r="J525" s="5"/>
      <c r="K525" s="5"/>
      <c r="L525" s="5"/>
      <c r="M525" s="5"/>
      <c r="N525" s="5"/>
      <c r="O525" s="5"/>
      <c r="P525" s="5"/>
      <c r="Q525" s="5"/>
      <c r="R525" s="5"/>
      <c r="S525" s="5"/>
      <c r="T525" s="5"/>
      <c r="U525" s="5"/>
      <c r="V525" s="5"/>
      <c r="W525" s="5"/>
      <c r="X525" s="5"/>
      <c r="Y525" s="5"/>
      <c r="Z525" s="5"/>
    </row>
    <row r="526" spans="1:26" ht="12.5" x14ac:dyDescent="0.25">
      <c r="A526" s="5" t="s">
        <v>988</v>
      </c>
      <c r="B526" s="5" t="str">
        <f ca="1">IFERROR(__xludf.DUMMYFUNCTION("AI(""Fill an appropriate value for this cell based on the table context"")"),"occurring at a favorable time or as if by divine intervention")</f>
        <v>occurring at a favorable time or as if by divine intervention</v>
      </c>
      <c r="C526" s="5" t="str">
        <f ca="1">IFERROR(__xludf.DUMMYFUNCTION("AI(""Fill an appropriate value for this cell based on the table context"")"),"fortunate, auspicious, timely")</f>
        <v>fortunate, auspicious, timely</v>
      </c>
      <c r="D526" s="5" t="str">
        <f ca="1">IFERROR(__xludf.DUMMYFUNCTION("AI(""Fill an appropriate value for this cell based on the table context"")"),"Finding a spare tire on the lonely highway felt like a providential intervention.")</f>
        <v>Finding a spare tire on the lonely highway felt like a providential intervention.</v>
      </c>
      <c r="E526" s="5"/>
      <c r="F526" s="5"/>
      <c r="G526" s="5"/>
      <c r="H526" s="5"/>
      <c r="I526" s="5"/>
      <c r="J526" s="5"/>
      <c r="K526" s="5"/>
      <c r="L526" s="5"/>
      <c r="M526" s="5"/>
      <c r="N526" s="5"/>
      <c r="O526" s="5"/>
      <c r="P526" s="5"/>
      <c r="Q526" s="5"/>
      <c r="R526" s="5"/>
      <c r="S526" s="5"/>
      <c r="T526" s="5"/>
      <c r="U526" s="5"/>
      <c r="V526" s="5"/>
      <c r="W526" s="5"/>
      <c r="X526" s="5"/>
      <c r="Y526" s="5"/>
      <c r="Z526" s="5"/>
    </row>
    <row r="527" spans="1:26" ht="12.5" x14ac:dyDescent="0.25">
      <c r="A527" s="5" t="s">
        <v>989</v>
      </c>
      <c r="B527" s="5" t="str">
        <f ca="1">IFERROR(__xludf.DUMMYFUNCTION("AI(""Fill an appropriate value for this cell based on the table context"")"),"occurring or discovered by chance in a happy or beneficial way")</f>
        <v>occurring or discovered by chance in a happy or beneficial way</v>
      </c>
      <c r="C527" s="5" t="str">
        <f ca="1">IFERROR(__xludf.DUMMYFUNCTION("AI(""Fill an appropriate value for this cell based on the table context"")"),"fortuitous, accidental, lucky")</f>
        <v>fortuitous, accidental, lucky</v>
      </c>
      <c r="D527" s="5" t="str">
        <f ca="1">IFERROR(__xludf.DUMMYFUNCTION("AI(""Fill an appropriate value for this cell based on the table context"")"),"Their chance meeting at the coffee shop turned out to be a serendipitous start to a great friendship.")</f>
        <v>Their chance meeting at the coffee shop turned out to be a serendipitous start to a great friendship.</v>
      </c>
      <c r="E527" s="5"/>
      <c r="F527" s="5"/>
      <c r="G527" s="5"/>
      <c r="H527" s="5"/>
      <c r="I527" s="5"/>
      <c r="J527" s="5"/>
      <c r="K527" s="5"/>
      <c r="L527" s="5"/>
      <c r="M527" s="5"/>
      <c r="N527" s="5"/>
      <c r="O527" s="5"/>
      <c r="P527" s="5"/>
      <c r="Q527" s="5"/>
      <c r="R527" s="5"/>
      <c r="S527" s="5"/>
      <c r="T527" s="5"/>
      <c r="U527" s="5"/>
      <c r="V527" s="5"/>
      <c r="W527" s="5"/>
      <c r="X527" s="5"/>
      <c r="Y527" s="5"/>
      <c r="Z527" s="5"/>
    </row>
    <row r="528" spans="1:26" ht="12.5" x14ac:dyDescent="0.25">
      <c r="A528" s="5" t="s">
        <v>990</v>
      </c>
      <c r="B528" s="5" t="str">
        <f ca="1">IFERROR(__xludf.DUMMYFUNCTION("AI(""Fill an appropriate value for this cell based on the table context"")"),"an enthusiastic expression of feeling or a free-form musical piece")</f>
        <v>an enthusiastic expression of feeling or a free-form musical piece</v>
      </c>
      <c r="C528" s="5" t="str">
        <f ca="1">IFERROR(__xludf.DUMMYFUNCTION("AI(""Fill an appropriate value for this cell based on the table context"")"),"ecstasy, rapture, paean")</f>
        <v>ecstasy, rapture, paean</v>
      </c>
      <c r="D528" s="5" t="str">
        <f ca="1">IFERROR(__xludf.DUMMYFUNCTION("AI(""Fill an appropriate value for this cell based on the table context"")"),"The music critic wrote an enthusiastic rhapsody praising the orchestra's stunning performance.")</f>
        <v>The music critic wrote an enthusiastic rhapsody praising the orchestra's stunning performance.</v>
      </c>
      <c r="E528" s="5"/>
      <c r="F528" s="5"/>
      <c r="G528" s="5"/>
      <c r="H528" s="5"/>
      <c r="I528" s="5"/>
      <c r="J528" s="5"/>
      <c r="K528" s="5"/>
      <c r="L528" s="5"/>
      <c r="M528" s="5"/>
      <c r="N528" s="5"/>
      <c r="O528" s="5"/>
      <c r="P528" s="5"/>
      <c r="Q528" s="5"/>
      <c r="R528" s="5"/>
      <c r="S528" s="5"/>
      <c r="T528" s="5"/>
      <c r="U528" s="5"/>
      <c r="V528" s="5"/>
      <c r="W528" s="5"/>
      <c r="X528" s="5"/>
      <c r="Y528" s="5"/>
      <c r="Z528" s="5"/>
    </row>
    <row r="529" spans="1:26" ht="12.5" x14ac:dyDescent="0.25">
      <c r="A529" s="5" t="s">
        <v>991</v>
      </c>
      <c r="B529" s="5" t="str">
        <f ca="1">IFERROR(__xludf.DUMMYFUNCTION("AI(""Fill an appropriate value for this cell based on the table context"")"),"set right or remedy an undesirable or unfair situation")</f>
        <v>set right or remedy an undesirable or unfair situation</v>
      </c>
      <c r="C529" s="5" t="str">
        <f ca="1">IFERROR(__xludf.DUMMYFUNCTION("AI(""Fill an appropriate value for this cell based on the table context"")"),"rectify, remedy, correct")</f>
        <v>rectify, remedy, correct</v>
      </c>
      <c r="D529" s="5" t="str">
        <f ca="1">IFERROR(__xludf.DUMMYFUNCTION("AI(""Fill an appropriate value for this cell based on the table context"")"),"The company offered a full refund to redress the mistake made on the customer's invoice.")</f>
        <v>The company offered a full refund to redress the mistake made on the customer's invoice.</v>
      </c>
      <c r="E529" s="5"/>
      <c r="F529" s="5"/>
      <c r="G529" s="5"/>
      <c r="H529" s="5"/>
      <c r="I529" s="5"/>
      <c r="J529" s="5"/>
      <c r="K529" s="5"/>
      <c r="L529" s="5"/>
      <c r="M529" s="5"/>
      <c r="N529" s="5"/>
      <c r="O529" s="5"/>
      <c r="P529" s="5"/>
      <c r="Q529" s="5"/>
      <c r="R529" s="5"/>
      <c r="S529" s="5"/>
      <c r="T529" s="5"/>
      <c r="U529" s="5"/>
      <c r="V529" s="5"/>
      <c r="W529" s="5"/>
      <c r="X529" s="5"/>
      <c r="Y529" s="5"/>
      <c r="Z529" s="5"/>
    </row>
    <row r="530" spans="1:26" ht="12.5" x14ac:dyDescent="0.25">
      <c r="A530" s="5" t="s">
        <v>992</v>
      </c>
      <c r="B530" s="5" t="str">
        <f ca="1">IFERROR(__xludf.DUMMYFUNCTION("AI(""Fill an appropriate value for this cell based on the table context"")"),"a religious hermit or recluse")</f>
        <v>a religious hermit or recluse</v>
      </c>
      <c r="C530" s="5" t="str">
        <f ca="1">IFERROR(__xludf.DUMMYFUNCTION("AI(""Fill an appropriate value for this cell based on the table context"")"),"hermit, recluse, anchorite")</f>
        <v>hermit, recluse, anchorite</v>
      </c>
      <c r="D530" s="5" t="str">
        <f ca="1">IFERROR(__xludf.DUMMYFUNCTION("AI(""Fill an appropriate value for this cell based on the table context"")"),"The mountain eremite preferred the quiet solitude of his cabin to the bustle of the city.")</f>
        <v>The mountain eremite preferred the quiet solitude of his cabin to the bustle of the city.</v>
      </c>
      <c r="E530" s="5"/>
      <c r="F530" s="5"/>
      <c r="G530" s="5"/>
      <c r="H530" s="5"/>
      <c r="I530" s="5"/>
      <c r="J530" s="5"/>
      <c r="K530" s="5"/>
      <c r="L530" s="5"/>
      <c r="M530" s="5"/>
      <c r="N530" s="5"/>
      <c r="O530" s="5"/>
      <c r="P530" s="5"/>
      <c r="Q530" s="5"/>
      <c r="R530" s="5"/>
      <c r="S530" s="5"/>
      <c r="T530" s="5"/>
      <c r="U530" s="5"/>
      <c r="V530" s="5"/>
      <c r="W530" s="5"/>
      <c r="X530" s="5"/>
      <c r="Y530" s="5"/>
      <c r="Z530" s="5"/>
    </row>
    <row r="531" spans="1:26" ht="12.5" x14ac:dyDescent="0.25">
      <c r="A531" s="5" t="s">
        <v>993</v>
      </c>
      <c r="B531" s="5" t="str">
        <f ca="1">IFERROR(__xludf.DUMMYFUNCTION("AI(""Fill an appropriate value for this cell based on the table context"")"),"slow and clumsy because of great weight or dull and laborious")</f>
        <v>slow and clumsy because of great weight or dull and laborious</v>
      </c>
      <c r="C531" s="5" t="str">
        <f ca="1">IFERROR(__xludf.DUMMYFUNCTION("AI(""Fill an appropriate value for this cell based on the table context"")"),"heavy, unwieldy, clumsy")</f>
        <v>heavy, unwieldy, clumsy</v>
      </c>
      <c r="D531" s="5" t="str">
        <f ca="1">IFERROR(__xludf.DUMMYFUNCTION("AI(""Fill an appropriate value for this cell based on the table context"")"),"The elephant moved with slow, ponderous steps across the muddy field.")</f>
        <v>The elephant moved with slow, ponderous steps across the muddy field.</v>
      </c>
      <c r="E531" s="5"/>
      <c r="F531" s="5"/>
      <c r="G531" s="5"/>
      <c r="H531" s="5"/>
      <c r="I531" s="5"/>
      <c r="J531" s="5"/>
      <c r="K531" s="5"/>
      <c r="L531" s="5"/>
      <c r="M531" s="5"/>
      <c r="N531" s="5"/>
      <c r="O531" s="5"/>
      <c r="P531" s="5"/>
      <c r="Q531" s="5"/>
      <c r="R531" s="5"/>
      <c r="S531" s="5"/>
      <c r="T531" s="5"/>
      <c r="U531" s="5"/>
      <c r="V531" s="5"/>
      <c r="W531" s="5"/>
      <c r="X531" s="5"/>
      <c r="Y531" s="5"/>
      <c r="Z531" s="5"/>
    </row>
    <row r="532" spans="1:26" ht="12.5" x14ac:dyDescent="0.25">
      <c r="A532" s="5" t="s">
        <v>994</v>
      </c>
      <c r="B532" s="5" t="str">
        <f ca="1">IFERROR(__xludf.DUMMYFUNCTION("AI(""Fill an appropriate value for this cell based on the table context"")"),"an artistic work that imitates the style of another work or artist")</f>
        <v>an artistic work that imitates the style of another work or artist</v>
      </c>
      <c r="C532" s="5" t="str">
        <f ca="1">IFERROR(__xludf.DUMMYFUNCTION("AI(""Fill an appropriate value for this cell based on the table context"")"),"hodgepodge, medley, mixture")</f>
        <v>hodgepodge, medley, mixture</v>
      </c>
      <c r="D532" s="5" t="str">
        <f ca="1">IFERROR(__xludf.DUMMYFUNCTION("AI(""Fill an appropriate value for this cell based on the table context"")"),"The novel was a brilliant pastiche of classical detective stories and gothic thrillers.")</f>
        <v>The novel was a brilliant pastiche of classical detective stories and gothic thrillers.</v>
      </c>
      <c r="E532" s="5"/>
      <c r="F532" s="5"/>
      <c r="G532" s="5"/>
      <c r="H532" s="5"/>
      <c r="I532" s="5"/>
      <c r="J532" s="5"/>
      <c r="K532" s="5"/>
      <c r="L532" s="5"/>
      <c r="M532" s="5"/>
      <c r="N532" s="5"/>
      <c r="O532" s="5"/>
      <c r="P532" s="5"/>
      <c r="Q532" s="5"/>
      <c r="R532" s="5"/>
      <c r="S532" s="5"/>
      <c r="T532" s="5"/>
      <c r="U532" s="5"/>
      <c r="V532" s="5"/>
      <c r="W532" s="5"/>
      <c r="X532" s="5"/>
      <c r="Y532" s="5"/>
      <c r="Z532" s="5"/>
    </row>
    <row r="533" spans="1:26" ht="12.5" x14ac:dyDescent="0.25">
      <c r="A533" s="5" t="s">
        <v>995</v>
      </c>
      <c r="B533" s="5" t="str">
        <f ca="1">IFERROR(__xludf.DUMMYFUNCTION("AI(""Fill an appropriate value for this cell based on the table context"")"),"turn into bone or become rigid and inflexible")</f>
        <v>turn into bone or become rigid and inflexible</v>
      </c>
      <c r="C533" s="5" t="str">
        <f ca="1">IFERROR(__xludf.DUMMYFUNCTION("AI(""Fill an appropriate value for this cell based on the table context"")"),"harden, petrify, rigidify")</f>
        <v>harden, petrify, rigidify</v>
      </c>
      <c r="D533" s="5" t="str">
        <f ca="1">IFERROR(__xludf.DUMMYFUNCTION("AI(""Fill an appropriate value for this cell based on the table context"")"),"Without new ideas, the rigid corporate culture began to ossify over time.")</f>
        <v>Without new ideas, the rigid corporate culture began to ossify over time.</v>
      </c>
      <c r="E533" s="5"/>
      <c r="F533" s="5"/>
      <c r="G533" s="5"/>
      <c r="H533" s="5"/>
      <c r="I533" s="5"/>
      <c r="J533" s="5"/>
      <c r="K533" s="5"/>
      <c r="L533" s="5"/>
      <c r="M533" s="5"/>
      <c r="N533" s="5"/>
      <c r="O533" s="5"/>
      <c r="P533" s="5"/>
      <c r="Q533" s="5"/>
      <c r="R533" s="5"/>
      <c r="S533" s="5"/>
      <c r="T533" s="5"/>
      <c r="U533" s="5"/>
      <c r="V533" s="5"/>
      <c r="W533" s="5"/>
      <c r="X533" s="5"/>
      <c r="Y533" s="5"/>
      <c r="Z533" s="5"/>
    </row>
    <row r="534" spans="1:26" ht="12.5" x14ac:dyDescent="0.25">
      <c r="A534" s="5" t="s">
        <v>996</v>
      </c>
      <c r="B534" s="5" t="str">
        <f ca="1">IFERROR(__xludf.DUMMYFUNCTION("AI(""Fill an appropriate value for this cell based on the table context"")"),"unfortunate or unlucky")</f>
        <v>unfortunate or unlucky</v>
      </c>
      <c r="C534" s="5" t="str">
        <f ca="1">IFERROR(__xludf.DUMMYFUNCTION("AI(""Fill an appropriate value for this cell based on the table context"")"),"unlucky, unfortunate, ill-fated")</f>
        <v>unlucky, unfortunate, ill-fated</v>
      </c>
      <c r="D534" s="5" t="str">
        <f ca="1">IFERROR(__xludf.DUMMYFUNCTION("AI(""Fill an appropriate value for this cell based on the table context"")"),"The hapless tourist dropped his ice cream cone immediately after buying it.")</f>
        <v>The hapless tourist dropped his ice cream cone immediately after buying it.</v>
      </c>
      <c r="E534" s="5"/>
      <c r="F534" s="5"/>
      <c r="G534" s="5"/>
      <c r="H534" s="5"/>
      <c r="I534" s="5"/>
      <c r="J534" s="5"/>
      <c r="K534" s="5"/>
      <c r="L534" s="5"/>
      <c r="M534" s="5"/>
      <c r="N534" s="5"/>
      <c r="O534" s="5"/>
      <c r="P534" s="5"/>
      <c r="Q534" s="5"/>
      <c r="R534" s="5"/>
      <c r="S534" s="5"/>
      <c r="T534" s="5"/>
      <c r="U534" s="5"/>
      <c r="V534" s="5"/>
      <c r="W534" s="5"/>
      <c r="X534" s="5"/>
      <c r="Y534" s="5"/>
      <c r="Z534" s="5"/>
    </row>
    <row r="535" spans="1:26" ht="12.5" x14ac:dyDescent="0.25">
      <c r="A535" s="5" t="s">
        <v>997</v>
      </c>
      <c r="B535" s="5" t="str">
        <f ca="1">IFERROR(__xludf.DUMMYFUNCTION("AI(""Fill an appropriate value for this cell based on the table context"")"),"serving to lessen the seriousness of an offense or mistake")</f>
        <v>serving to lessen the seriousness of an offense or mistake</v>
      </c>
      <c r="C535" s="5" t="str">
        <f ca="1">IFERROR(__xludf.DUMMYFUNCTION("AI(""Fill an appropriate value for this cell based on the table context"")"),"mitigating, moderating, qualifying")</f>
        <v>mitigating, moderating, qualifying</v>
      </c>
      <c r="D535" s="5" t="str">
        <f ca="1">IFERROR(__xludf.DUMMYFUNCTION("AI(""Fill an appropriate value for this cell based on the table context"")"),"The judge considered the extenuating circumstances before deciding on a lighter sentence.")</f>
        <v>The judge considered the extenuating circumstances before deciding on a lighter sentence.</v>
      </c>
      <c r="E535" s="5"/>
      <c r="F535" s="5"/>
      <c r="G535" s="5"/>
      <c r="H535" s="5"/>
      <c r="I535" s="5"/>
      <c r="J535" s="5"/>
      <c r="K535" s="5"/>
      <c r="L535" s="5"/>
      <c r="M535" s="5"/>
      <c r="N535" s="5"/>
      <c r="O535" s="5"/>
      <c r="P535" s="5"/>
      <c r="Q535" s="5"/>
      <c r="R535" s="5"/>
      <c r="S535" s="5"/>
      <c r="T535" s="5"/>
      <c r="U535" s="5"/>
      <c r="V535" s="5"/>
      <c r="W535" s="5"/>
      <c r="X535" s="5"/>
      <c r="Y535" s="5"/>
      <c r="Z535" s="5"/>
    </row>
    <row r="536" spans="1:26" ht="12.5" x14ac:dyDescent="0.25">
      <c r="A536" s="5" t="s">
        <v>998</v>
      </c>
      <c r="B536" s="5" t="str">
        <f ca="1">IFERROR(__xludf.DUMMYFUNCTION("AI(""Fill an appropriate value for this cell based on the table context"")"),"pamper or treat with excessive care")</f>
        <v>pamper or treat with excessive care</v>
      </c>
      <c r="C536" s="5" t="str">
        <f ca="1">IFERROR(__xludf.DUMMYFUNCTION("AI(""Fill an appropriate value for this cell based on the table context"")"),"pamper, coddle, indulge")</f>
        <v>pamper, coddle, indulge</v>
      </c>
      <c r="D536" s="5" t="str">
        <f ca="1">IFERROR(__xludf.DUMMYFUNCTION("AI(""Fill an appropriate value for this cell based on the table context"")"),"The wealthy couple loved to cosset their pampered pet dog with luxurious treats.")</f>
        <v>The wealthy couple loved to cosset their pampered pet dog with luxurious treats.</v>
      </c>
      <c r="E536" s="5"/>
      <c r="F536" s="5"/>
      <c r="G536" s="5"/>
      <c r="H536" s="5"/>
      <c r="I536" s="5"/>
      <c r="J536" s="5"/>
      <c r="K536" s="5"/>
      <c r="L536" s="5"/>
      <c r="M536" s="5"/>
      <c r="N536" s="5"/>
      <c r="O536" s="5"/>
      <c r="P536" s="5"/>
      <c r="Q536" s="5"/>
      <c r="R536" s="5"/>
      <c r="S536" s="5"/>
      <c r="T536" s="5"/>
      <c r="U536" s="5"/>
      <c r="V536" s="5"/>
      <c r="W536" s="5"/>
      <c r="X536" s="5"/>
      <c r="Y536" s="5"/>
      <c r="Z536" s="5"/>
    </row>
    <row r="537" spans="1:26" ht="12.5" x14ac:dyDescent="0.25">
      <c r="A537" s="5" t="s">
        <v>999</v>
      </c>
      <c r="B537" s="5" t="str">
        <f ca="1">IFERROR(__xludf.DUMMYFUNCTION("AI(""Fill an appropriate value for this cell based on the table context"")"),"a blessing or benediction")</f>
        <v>a blessing or benediction</v>
      </c>
      <c r="C537" s="5" t="str">
        <f ca="1">IFERROR(__xludf.DUMMYFUNCTION("AI(""Fill an appropriate value for this cell based on the table context"")"),"blessing, benediction, boon")</f>
        <v>blessing, benediction, boon</v>
      </c>
      <c r="D537" s="5" t="str">
        <f ca="1">IFERROR(__xludf.DUMMYFUNCTION("AI(""Fill an appropriate value for this cell based on the table context"")"),"The gentle rain was a welcome benison to the farmers struggling through the drought.")</f>
        <v>The gentle rain was a welcome benison to the farmers struggling through the drought.</v>
      </c>
      <c r="E537" s="5"/>
      <c r="F537" s="5"/>
      <c r="G537" s="5"/>
      <c r="H537" s="5"/>
      <c r="I537" s="5"/>
      <c r="J537" s="5"/>
      <c r="K537" s="5"/>
      <c r="L537" s="5"/>
      <c r="M537" s="5"/>
      <c r="N537" s="5"/>
      <c r="O537" s="5"/>
      <c r="P537" s="5"/>
      <c r="Q537" s="5"/>
      <c r="R537" s="5"/>
      <c r="S537" s="5"/>
      <c r="T537" s="5"/>
      <c r="U537" s="5"/>
      <c r="V537" s="5"/>
      <c r="W537" s="5"/>
      <c r="X537" s="5"/>
      <c r="Y537" s="5"/>
      <c r="Z537" s="5"/>
    </row>
    <row r="538" spans="1:26" ht="12.5" x14ac:dyDescent="0.25">
      <c r="A538" s="5" t="s">
        <v>1000</v>
      </c>
      <c r="B538" s="5" t="str">
        <f ca="1">IFERROR(__xludf.DUMMYFUNCTION("AI(""Fill an appropriate value for this cell based on the table context"")"),"inform or give notice to someone")</f>
        <v>inform or give notice to someone</v>
      </c>
      <c r="C538" s="5" t="str">
        <f ca="1">IFERROR(__xludf.DUMMYFUNCTION("AI(""Fill an appropriate value for this cell based on the table context"")"),"inform, notify, advise")</f>
        <v>inform, notify, advise</v>
      </c>
      <c r="D538" s="5" t="str">
        <f ca="1">IFERROR(__xludf.DUMMYFUNCTION("AI(""Fill an appropriate value for this cell based on the table context"")"),"Please apprise me of any updates regarding the project timeline as soon as possible.")</f>
        <v>Please apprise me of any updates regarding the project timeline as soon as possible.</v>
      </c>
      <c r="E538" s="5"/>
      <c r="F538" s="5"/>
      <c r="G538" s="5"/>
      <c r="H538" s="5"/>
      <c r="I538" s="5"/>
      <c r="J538" s="5"/>
      <c r="K538" s="5"/>
      <c r="L538" s="5"/>
      <c r="M538" s="5"/>
      <c r="N538" s="5"/>
      <c r="O538" s="5"/>
      <c r="P538" s="5"/>
      <c r="Q538" s="5"/>
      <c r="R538" s="5"/>
      <c r="S538" s="5"/>
      <c r="T538" s="5"/>
      <c r="U538" s="5"/>
      <c r="V538" s="5"/>
      <c r="W538" s="5"/>
      <c r="X538" s="5"/>
      <c r="Y538" s="5"/>
      <c r="Z538" s="5"/>
    </row>
    <row r="539" spans="1:26" ht="12.5" x14ac:dyDescent="0.25">
      <c r="A539" s="5" t="s">
        <v>1001</v>
      </c>
      <c r="B539" s="5" t="str">
        <f ca="1">IFERROR(__xludf.DUMMYFUNCTION("AI(""Fill an appropriate value for this cell based on the table context"")"),"highly excited, eager, or curious")</f>
        <v>highly excited, eager, or curious</v>
      </c>
      <c r="C539" s="5" t="str">
        <f ca="1">IFERROR(__xludf.DUMMYFUNCTION("AI(""Fill an appropriate value for this cell based on the table context"")"),"eager, excited, enthusiastic")</f>
        <v>eager, excited, enthusiastic</v>
      </c>
      <c r="D539" s="5" t="str">
        <f ca="1">IFERROR(__xludf.DUMMYFUNCTION("AI(""Fill an appropriate value for this cell based on the table context"")"),"The children were agog with excitement as the magician stepped onto the stage.")</f>
        <v>The children were agog with excitement as the magician stepped onto the stage.</v>
      </c>
      <c r="E539" s="5"/>
      <c r="F539" s="5"/>
      <c r="G539" s="5"/>
      <c r="H539" s="5"/>
      <c r="I539" s="5"/>
      <c r="J539" s="5"/>
      <c r="K539" s="5"/>
      <c r="L539" s="5"/>
      <c r="M539" s="5"/>
      <c r="N539" s="5"/>
      <c r="O539" s="5"/>
      <c r="P539" s="5"/>
      <c r="Q539" s="5"/>
      <c r="R539" s="5"/>
      <c r="S539" s="5"/>
      <c r="T539" s="5"/>
      <c r="U539" s="5"/>
      <c r="V539" s="5"/>
      <c r="W539" s="5"/>
      <c r="X539" s="5"/>
      <c r="Y539" s="5"/>
      <c r="Z539" s="5"/>
    </row>
    <row r="540" spans="1:26" ht="12.5" x14ac:dyDescent="0.25">
      <c r="A540" s="5" t="s">
        <v>1002</v>
      </c>
      <c r="B540" s="5" t="str">
        <f ca="1">IFERROR(__xludf.DUMMYFUNCTION("AI(""Fill an appropriate value for this cell based on the table context"")"),"formally repeal or annul a law, right, or agreement")</f>
        <v>formally repeal or annul a law, right, or agreement</v>
      </c>
      <c r="C540" s="5" t="str">
        <f ca="1">IFERROR(__xludf.DUMMYFUNCTION("AI(""Fill an appropriate value for this cell based on the table context"")"),"revoke, repeal, annul")</f>
        <v>revoke, repeal, annul</v>
      </c>
      <c r="D540" s="5" t="str">
        <f ca="1">IFERROR(__xludf.DUMMYFUNCTION("AI(""Fill an appropriate value for this cell based on the table context"")"),"The government decided to abrogate the outdated treaty after years of negotiation.")</f>
        <v>The government decided to abrogate the outdated treaty after years of negotiation.</v>
      </c>
      <c r="E540" s="5"/>
      <c r="F540" s="5"/>
      <c r="G540" s="5"/>
      <c r="H540" s="5"/>
      <c r="I540" s="5"/>
      <c r="J540" s="5"/>
      <c r="K540" s="5"/>
      <c r="L540" s="5"/>
      <c r="M540" s="5"/>
      <c r="N540" s="5"/>
      <c r="O540" s="5"/>
      <c r="P540" s="5"/>
      <c r="Q540" s="5"/>
      <c r="R540" s="5"/>
      <c r="S540" s="5"/>
      <c r="T540" s="5"/>
      <c r="U540" s="5"/>
      <c r="V540" s="5"/>
      <c r="W540" s="5"/>
      <c r="X540" s="5"/>
      <c r="Y540" s="5"/>
      <c r="Z540" s="5"/>
    </row>
    <row r="541" spans="1:26" ht="12.5" x14ac:dyDescent="0.25">
      <c r="A541" s="5" t="s">
        <v>1003</v>
      </c>
      <c r="B541" s="5" t="str">
        <f ca="1">IFERROR(__xludf.DUMMYFUNCTION("AI(""Fill an appropriate value for this cell based on the table context"")"),"song or hymn of praise, joy, or thanksgiving")</f>
        <v>song or hymn of praise, joy, or thanksgiving</v>
      </c>
      <c r="C541" s="5" t="str">
        <f ca="1">IFERROR(__xludf.DUMMYFUNCTION("AI(""Fill an appropriate value for this cell based on the table context"")"),"tribute, hymn, eulogy")</f>
        <v>tribute, hymn, eulogy</v>
      </c>
      <c r="D541" s="5" t="str">
        <f ca="1">IFERROR(__xludf.DUMMYFUNCTION("AI(""Fill an appropriate value for this cell based on the table context"")"),"The choir sang a triumphant paean of praise following their great victory.")</f>
        <v>The choir sang a triumphant paean of praise following their great victory.</v>
      </c>
      <c r="E541" s="5"/>
      <c r="F541" s="5"/>
      <c r="G541" s="5"/>
      <c r="H541" s="5"/>
      <c r="I541" s="5"/>
      <c r="J541" s="5"/>
      <c r="K541" s="5"/>
      <c r="L541" s="5"/>
      <c r="M541" s="5"/>
      <c r="N541" s="5"/>
      <c r="O541" s="5"/>
      <c r="P541" s="5"/>
      <c r="Q541" s="5"/>
      <c r="R541" s="5"/>
      <c r="S541" s="5"/>
      <c r="T541" s="5"/>
      <c r="U541" s="5"/>
      <c r="V541" s="5"/>
      <c r="W541" s="5"/>
      <c r="X541" s="5"/>
      <c r="Y541" s="5"/>
      <c r="Z541" s="5"/>
    </row>
    <row r="542" spans="1:26" ht="12.5" x14ac:dyDescent="0.25">
      <c r="A542" s="5" t="s">
        <v>1004</v>
      </c>
      <c r="B542" s="5" t="str">
        <f ca="1">IFERROR(__xludf.DUMMYFUNCTION("AI(""Fill an appropriate value for this cell based on the table context"")"),"person who lives in seclusion for religious reasons")</f>
        <v>person who lives in seclusion for religious reasons</v>
      </c>
      <c r="C542" s="5" t="str">
        <f ca="1">IFERROR(__xludf.DUMMYFUNCTION("AI(""Fill an appropriate value for this cell based on the table context"")"),"hermit, recluse, eremite")</f>
        <v>hermit, recluse, eremite</v>
      </c>
      <c r="D542" s="5" t="str">
        <f ca="1">IFERROR(__xludf.DUMMYFUNCTION("AI(""Fill an appropriate value for this cell based on the table context"")"),"The medieval anchorite lived in a secluded cell away from society to focus on prayer.")</f>
        <v>The medieval anchorite lived in a secluded cell away from society to focus on prayer.</v>
      </c>
      <c r="E542" s="5"/>
      <c r="F542" s="5"/>
      <c r="G542" s="5"/>
      <c r="H542" s="5"/>
      <c r="I542" s="5"/>
      <c r="J542" s="5"/>
      <c r="K542" s="5"/>
      <c r="L542" s="5"/>
      <c r="M542" s="5"/>
      <c r="N542" s="5"/>
      <c r="O542" s="5"/>
      <c r="P542" s="5"/>
      <c r="Q542" s="5"/>
      <c r="R542" s="5"/>
      <c r="S542" s="5"/>
      <c r="T542" s="5"/>
      <c r="U542" s="5"/>
      <c r="V542" s="5"/>
      <c r="W542" s="5"/>
      <c r="X542" s="5"/>
      <c r="Y542" s="5"/>
      <c r="Z542" s="5"/>
    </row>
    <row r="543" spans="1:26" ht="12.5" x14ac:dyDescent="0.25">
      <c r="A543" s="5" t="s">
        <v>1005</v>
      </c>
      <c r="B543" s="5" t="str">
        <f ca="1">IFERROR(__xludf.DUMMYFUNCTION("AI(""Fill an appropriate value for this cell based on the table context"")"),"ability or tendency to float in a fluid")</f>
        <v>ability or tendency to float in a fluid</v>
      </c>
      <c r="C543" s="5" t="str">
        <f ca="1">IFERROR(__xludf.DUMMYFUNCTION("AI(""Fill an appropriate value for this cell based on the table context"")"),"floatability, lightness, cheerfulness")</f>
        <v>floatability, lightness, cheerfulness</v>
      </c>
      <c r="D543" s="5" t="str">
        <f ca="1">IFERROR(__xludf.DUMMYFUNCTION("AI(""Fill an appropriate value for this cell based on the table context"")"),"The life jacket provided enough buoyancy to keep him afloat in the rough sea.")</f>
        <v>The life jacket provided enough buoyancy to keep him afloat in the rough sea.</v>
      </c>
      <c r="E543" s="5"/>
      <c r="F543" s="5"/>
      <c r="G543" s="5"/>
      <c r="H543" s="5"/>
      <c r="I543" s="5"/>
      <c r="J543" s="5"/>
      <c r="K543" s="5"/>
      <c r="L543" s="5"/>
      <c r="M543" s="5"/>
      <c r="N543" s="5"/>
      <c r="O543" s="5"/>
      <c r="P543" s="5"/>
      <c r="Q543" s="5"/>
      <c r="R543" s="5"/>
      <c r="S543" s="5"/>
      <c r="T543" s="5"/>
      <c r="U543" s="5"/>
      <c r="V543" s="5"/>
      <c r="W543" s="5"/>
      <c r="X543" s="5"/>
      <c r="Y543" s="5"/>
      <c r="Z543" s="5"/>
    </row>
    <row r="544" spans="1:26" ht="12.5" x14ac:dyDescent="0.25">
      <c r="A544" s="5" t="s">
        <v>1006</v>
      </c>
      <c r="B544" s="5" t="str">
        <f ca="1">IFERROR(__xludf.DUMMYFUNCTION("AI(""Fill an appropriate value for this cell based on the table context"")"),"great energy, vigor, or enthusiasm")</f>
        <v>great energy, vigor, or enthusiasm</v>
      </c>
      <c r="C544" s="5" t="str">
        <f ca="1">IFERROR(__xludf.DUMMYFUNCTION("AI(""Fill an appropriate value for this cell based on the table context"")"),"vigor, energy, gusto")</f>
        <v>vigor, energy, gusto</v>
      </c>
      <c r="D544" s="5" t="str">
        <f ca="1">IFERROR(__xludf.DUMMYFUNCTION("AI(""Fill an appropriate value for this cell based on the table context"")"),"She performed the piano piece with exceptional verve and energy.")</f>
        <v>She performed the piano piece with exceptional verve and energy.</v>
      </c>
      <c r="E544" s="5"/>
      <c r="F544" s="5"/>
      <c r="G544" s="5"/>
      <c r="H544" s="5"/>
      <c r="I544" s="5"/>
      <c r="J544" s="5"/>
      <c r="K544" s="5"/>
      <c r="L544" s="5"/>
      <c r="M544" s="5"/>
      <c r="N544" s="5"/>
      <c r="O544" s="5"/>
      <c r="P544" s="5"/>
      <c r="Q544" s="5"/>
      <c r="R544" s="5"/>
      <c r="S544" s="5"/>
      <c r="T544" s="5"/>
      <c r="U544" s="5"/>
      <c r="V544" s="5"/>
      <c r="W544" s="5"/>
      <c r="X544" s="5"/>
      <c r="Y544" s="5"/>
      <c r="Z544" s="5"/>
    </row>
    <row r="545" spans="1:26" ht="12.5" x14ac:dyDescent="0.25">
      <c r="A545" s="5" t="s">
        <v>1007</v>
      </c>
      <c r="B545" s="5" t="str">
        <f ca="1">IFERROR(__xludf.DUMMYFUNCTION("AI(""Fill an appropriate value for this cell based on the table context"")"),"calm, unemotional, and showing little emotion")</f>
        <v>calm, unemotional, and showing little emotion</v>
      </c>
      <c r="C545" s="5" t="str">
        <f ca="1">IFERROR(__xludf.DUMMYFUNCTION("AI(""Fill an appropriate value for this cell based on the table context"")"),"impassive, unemotional, phlegmatic")</f>
        <v>impassive, unemotional, phlegmatic</v>
      </c>
      <c r="D545" s="5" t="str">
        <f ca="1">IFERROR(__xludf.DUMMYFUNCTION("AI(""Fill an appropriate value for this cell based on the table context"")"),"He remained stolid and showed no emotion during the intense trial.")</f>
        <v>He remained stolid and showed no emotion during the intense trial.</v>
      </c>
      <c r="E545" s="5"/>
      <c r="F545" s="5"/>
      <c r="G545" s="5"/>
      <c r="H545" s="5"/>
      <c r="I545" s="5"/>
      <c r="J545" s="5"/>
      <c r="K545" s="5"/>
      <c r="L545" s="5"/>
      <c r="M545" s="5"/>
      <c r="N545" s="5"/>
      <c r="O545" s="5"/>
      <c r="P545" s="5"/>
      <c r="Q545" s="5"/>
      <c r="R545" s="5"/>
      <c r="S545" s="5"/>
      <c r="T545" s="5"/>
      <c r="U545" s="5"/>
      <c r="V545" s="5"/>
      <c r="W545" s="5"/>
      <c r="X545" s="5"/>
      <c r="Y545" s="5"/>
      <c r="Z545" s="5"/>
    </row>
    <row r="546" spans="1:26" ht="12.5" x14ac:dyDescent="0.25">
      <c r="A546" s="5" t="s">
        <v>1008</v>
      </c>
      <c r="B546" s="5" t="str">
        <f ca="1">IFERROR(__xludf.DUMMYFUNCTION("AI(""Fill an appropriate value for this cell based on the table context"")"),"untidy, messy, or careless in appearance")</f>
        <v>untidy, messy, or careless in appearance</v>
      </c>
      <c r="C546" s="5" t="str">
        <f ca="1">IFERROR(__xludf.DUMMYFUNCTION("AI(""Fill an appropriate value for this cell based on the table context"")"),"untidy, sloppy, messy")</f>
        <v>untidy, sloppy, messy</v>
      </c>
      <c r="D546" s="5" t="str">
        <f ca="1">IFERROR(__xludf.DUMMYFUNCTION("AI(""Fill an appropriate value for this cell based on the table context"")"),"His slovenly appearance made a poor impression during the job interview.")</f>
        <v>His slovenly appearance made a poor impression during the job interview.</v>
      </c>
      <c r="E546" s="5"/>
      <c r="F546" s="5"/>
      <c r="G546" s="5"/>
      <c r="H546" s="5"/>
      <c r="I546" s="5"/>
      <c r="J546" s="5"/>
      <c r="K546" s="5"/>
      <c r="L546" s="5"/>
      <c r="M546" s="5"/>
      <c r="N546" s="5"/>
      <c r="O546" s="5"/>
      <c r="P546" s="5"/>
      <c r="Q546" s="5"/>
      <c r="R546" s="5"/>
      <c r="S546" s="5"/>
      <c r="T546" s="5"/>
      <c r="U546" s="5"/>
      <c r="V546" s="5"/>
      <c r="W546" s="5"/>
      <c r="X546" s="5"/>
      <c r="Y546" s="5"/>
      <c r="Z546" s="5"/>
    </row>
    <row r="547" spans="1:26" ht="12.5" x14ac:dyDescent="0.25">
      <c r="A547" s="5" t="s">
        <v>1009</v>
      </c>
      <c r="B547" s="5" t="str">
        <f ca="1">IFERROR(__xludf.DUMMYFUNCTION("AI(""Fill an appropriate value for this cell based on the table context"")"),"showing mature qualities at an unusually early age")</f>
        <v>showing mature qualities at an unusually early age</v>
      </c>
      <c r="C547" s="5" t="str">
        <f ca="1">IFERROR(__xludf.DUMMYFUNCTION("AI(""Fill an appropriate value for this cell based on the table context"")"),"advanced, gifted, mature")</f>
        <v>advanced, gifted, mature</v>
      </c>
      <c r="D547" s="5" t="str">
        <f ca="1">IFERROR(__xludf.DUMMYFUNCTION("AI(""Fill an appropriate value for this cell based on the table context"")"),"The precocious child was already reading college textbooks at age eight.")</f>
        <v>The precocious child was already reading college textbooks at age eight.</v>
      </c>
      <c r="E547" s="5"/>
      <c r="F547" s="5"/>
      <c r="G547" s="5"/>
      <c r="H547" s="5"/>
      <c r="I547" s="5"/>
      <c r="J547" s="5"/>
      <c r="K547" s="5"/>
      <c r="L547" s="5"/>
      <c r="M547" s="5"/>
      <c r="N547" s="5"/>
      <c r="O547" s="5"/>
      <c r="P547" s="5"/>
      <c r="Q547" s="5"/>
      <c r="R547" s="5"/>
      <c r="S547" s="5"/>
      <c r="T547" s="5"/>
      <c r="U547" s="5"/>
      <c r="V547" s="5"/>
      <c r="W547" s="5"/>
      <c r="X547" s="5"/>
      <c r="Y547" s="5"/>
      <c r="Z547" s="5"/>
    </row>
    <row r="548" spans="1:26" ht="12.5" x14ac:dyDescent="0.25">
      <c r="A548" s="5" t="s">
        <v>1010</v>
      </c>
      <c r="B548" s="5" t="str">
        <f ca="1">IFERROR(__xludf.DUMMYFUNCTION("AI(""Fill an appropriate value for this cell based on the table context"")"),"extremely unpleasant, repulsive, or hateful")</f>
        <v>extremely unpleasant, repulsive, or hateful</v>
      </c>
      <c r="C548" s="5" t="str">
        <f ca="1">IFERROR(__xludf.DUMMYFUNCTION("AI(""Fill an appropriate value for this cell based on the table context"")"),"hateful, detestable, repulsive")</f>
        <v>hateful, detestable, repulsive</v>
      </c>
      <c r="D548" s="5" t="str">
        <f ca="1">IFERROR(__xludf.DUMMYFUNCTION("AI(""Fill an appropriate value for this cell based on the table context"")"),"The tyrant was remembered for his odious crimes against the people.")</f>
        <v>The tyrant was remembered for his odious crimes against the people.</v>
      </c>
      <c r="E548" s="5"/>
      <c r="F548" s="5"/>
      <c r="G548" s="5"/>
      <c r="H548" s="5"/>
      <c r="I548" s="5"/>
      <c r="J548" s="5"/>
      <c r="K548" s="5"/>
      <c r="L548" s="5"/>
      <c r="M548" s="5"/>
      <c r="N548" s="5"/>
      <c r="O548" s="5"/>
      <c r="P548" s="5"/>
      <c r="Q548" s="5"/>
      <c r="R548" s="5"/>
      <c r="S548" s="5"/>
      <c r="T548" s="5"/>
      <c r="U548" s="5"/>
      <c r="V548" s="5"/>
      <c r="W548" s="5"/>
      <c r="X548" s="5"/>
      <c r="Y548" s="5"/>
      <c r="Z548" s="5"/>
    </row>
    <row r="549" spans="1:26" ht="12.5" x14ac:dyDescent="0.25">
      <c r="A549" s="5" t="s">
        <v>1011</v>
      </c>
      <c r="B549" s="5" t="str">
        <f ca="1">IFERROR(__xludf.DUMMYFUNCTION("AI(""Fill an appropriate value for this cell based on the table context"")"),"act in an obsequious or servile manner")</f>
        <v>act in an obsequious or servile manner</v>
      </c>
      <c r="C549" s="5" t="str">
        <f ca="1">IFERROR(__xludf.DUMMYFUNCTION("AI(""Fill an appropriate value for this cell based on the table context"")"),"grovel, fawn, genuflect")</f>
        <v>grovel, fawn, genuflect</v>
      </c>
      <c r="D549" s="5" t="str">
        <f ca="1">IFERROR(__xludf.DUMMYFUNCTION("AI(""Fill an appropriate value for this cell based on the table context"")"),"She refused to kowtow to her boss's unreasonable demands.")</f>
        <v>She refused to kowtow to her boss's unreasonable demands.</v>
      </c>
      <c r="E549" s="5"/>
      <c r="F549" s="5"/>
      <c r="G549" s="5"/>
      <c r="H549" s="5"/>
      <c r="I549" s="5"/>
      <c r="J549" s="5"/>
      <c r="K549" s="5"/>
      <c r="L549" s="5"/>
      <c r="M549" s="5"/>
      <c r="N549" s="5"/>
      <c r="O549" s="5"/>
      <c r="P549" s="5"/>
      <c r="Q549" s="5"/>
      <c r="R549" s="5"/>
      <c r="S549" s="5"/>
      <c r="T549" s="5"/>
      <c r="U549" s="5"/>
      <c r="V549" s="5"/>
      <c r="W549" s="5"/>
      <c r="X549" s="5"/>
      <c r="Y549" s="5"/>
      <c r="Z549" s="5"/>
    </row>
    <row r="550" spans="1:26" ht="25" x14ac:dyDescent="0.25">
      <c r="A550" s="5" t="s">
        <v>1012</v>
      </c>
      <c r="B550" s="5" t="str">
        <f ca="1">IFERROR(__xludf.DUMMYFUNCTION("AI(""Fill an appropriate value for this cell based on the table context"")"),"uncalled for or given without justification")</f>
        <v>uncalled for or given without justification</v>
      </c>
      <c r="C550" s="5" t="str">
        <f ca="1">IFERROR(__xludf.DUMMYFUNCTION("AI(""Fill an appropriate value for this cell based on the table context"")"),"unnecessary, unwarranted, uncalled-for")</f>
        <v>unnecessary, unwarranted, uncalled-for</v>
      </c>
      <c r="D550" s="5" t="str">
        <f ca="1">IFERROR(__xludf.DUMMYFUNCTION("AI(""Fill an appropriate value for this cell based on the table context"")"),"The movie was criticized for its excessive and gratuitous violence.")</f>
        <v>The movie was criticized for its excessive and gratuitous violence.</v>
      </c>
      <c r="E550" s="5"/>
      <c r="F550" s="5"/>
      <c r="G550" s="5"/>
      <c r="H550" s="5"/>
      <c r="I550" s="5"/>
      <c r="J550" s="5"/>
      <c r="K550" s="5"/>
      <c r="L550" s="5"/>
      <c r="M550" s="5"/>
      <c r="N550" s="5"/>
      <c r="O550" s="5"/>
      <c r="P550" s="5"/>
      <c r="Q550" s="5"/>
      <c r="R550" s="5"/>
      <c r="S550" s="5"/>
      <c r="T550" s="5"/>
      <c r="U550" s="5"/>
      <c r="V550" s="5"/>
      <c r="W550" s="5"/>
      <c r="X550" s="5"/>
      <c r="Y550" s="5"/>
      <c r="Z550" s="5"/>
    </row>
    <row r="551" spans="1:26" ht="12.5" x14ac:dyDescent="0.25">
      <c r="A551" s="5" t="s">
        <v>1013</v>
      </c>
      <c r="B551" s="5" t="str">
        <f ca="1">IFERROR(__xludf.DUMMYFUNCTION("AI(""Fill an appropriate value for this cell based on the table context"")"),"causing or promoting division within a group")</f>
        <v>causing or promoting division within a group</v>
      </c>
      <c r="C551" s="5" t="str">
        <f ca="1">IFERROR(__xludf.DUMMYFUNCTION("AI(""Fill an appropriate value for this cell based on the table context"")"),"separatist, dissident, sectarian")</f>
        <v>separatist, dissident, sectarian</v>
      </c>
      <c r="D551" s="5" t="str">
        <f ca="1">IFERROR(__xludf.DUMMYFUNCTION("AI(""Fill an appropriate value for this cell based on the table context"")"),"The schismatic group broke away from the main church to form their own sect.")</f>
        <v>The schismatic group broke away from the main church to form their own sect.</v>
      </c>
      <c r="E551" s="5"/>
      <c r="F551" s="5"/>
      <c r="G551" s="5"/>
      <c r="H551" s="5"/>
      <c r="I551" s="5"/>
      <c r="J551" s="5"/>
      <c r="K551" s="5"/>
      <c r="L551" s="5"/>
      <c r="M551" s="5"/>
      <c r="N551" s="5"/>
      <c r="O551" s="5"/>
      <c r="P551" s="5"/>
      <c r="Q551" s="5"/>
      <c r="R551" s="5"/>
      <c r="S551" s="5"/>
      <c r="T551" s="5"/>
      <c r="U551" s="5"/>
      <c r="V551" s="5"/>
      <c r="W551" s="5"/>
      <c r="X551" s="5"/>
      <c r="Y551" s="5"/>
      <c r="Z551" s="5"/>
    </row>
    <row r="552" spans="1:26" ht="25" x14ac:dyDescent="0.25">
      <c r="A552" s="5" t="s">
        <v>1014</v>
      </c>
      <c r="B552" s="5" t="str">
        <f ca="1">IFERROR(__xludf.DUMMYFUNCTION("AI(""Fill an appropriate value for this cell based on the table context"")"),"inclined to disagreement or forming dissenting factions")</f>
        <v>inclined to disagreement or forming dissenting factions</v>
      </c>
      <c r="C552" s="5" t="str">
        <f ca="1">IFERROR(__xludf.DUMMYFUNCTION("AI(""Fill an appropriate value for this cell based on the table context"")"),"contentious, argumentative, rebellious")</f>
        <v>contentious, argumentative, rebellious</v>
      </c>
      <c r="D552" s="5" t="str">
        <f ca="1">IFERROR(__xludf.DUMMYFUNCTION("AI(""Fill an appropriate value for this cell based on the table context"")"),"The factious political party struggled to reach a consensus on the new policy.")</f>
        <v>The factious political party struggled to reach a consensus on the new policy.</v>
      </c>
      <c r="E552" s="5"/>
      <c r="F552" s="5"/>
      <c r="G552" s="5"/>
      <c r="H552" s="5"/>
      <c r="I552" s="5"/>
      <c r="J552" s="5"/>
      <c r="K552" s="5"/>
      <c r="L552" s="5"/>
      <c r="M552" s="5"/>
      <c r="N552" s="5"/>
      <c r="O552" s="5"/>
      <c r="P552" s="5"/>
      <c r="Q552" s="5"/>
      <c r="R552" s="5"/>
      <c r="S552" s="5"/>
      <c r="T552" s="5"/>
      <c r="U552" s="5"/>
      <c r="V552" s="5"/>
      <c r="W552" s="5"/>
      <c r="X552" s="5"/>
      <c r="Y552" s="5"/>
      <c r="Z552" s="5"/>
    </row>
    <row r="553" spans="1:26" ht="12.5" x14ac:dyDescent="0.25">
      <c r="A553" s="5" t="s">
        <v>1015</v>
      </c>
      <c r="B553" s="5" t="str">
        <f ca="1">IFERROR(__xludf.DUMMYFUNCTION("AI(""Fill an appropriate value for this cell based on the table context"")"),"perform, speak, or compose without preparation")</f>
        <v>perform, speak, or compose without preparation</v>
      </c>
      <c r="C553" s="5" t="str">
        <f ca="1">IFERROR(__xludf.DUMMYFUNCTION("AI(""Fill an appropriate value for this cell based on the table context"")"),"improvise, ad-lib, wing it")</f>
        <v>improvise, ad-lib, wing it</v>
      </c>
      <c r="D553" s="5" t="str">
        <f ca="1">IFERROR(__xludf.DUMMYFUNCTION("AI(""Fill an appropriate value for this cell based on the table context"")"),"When his presentation slides failed to load, the speaker had to extemporize for twenty minutes.")</f>
        <v>When his presentation slides failed to load, the speaker had to extemporize for twenty minutes.</v>
      </c>
      <c r="E553" s="5"/>
      <c r="F553" s="5"/>
      <c r="G553" s="5"/>
      <c r="H553" s="5"/>
      <c r="I553" s="5"/>
      <c r="J553" s="5"/>
      <c r="K553" s="5"/>
      <c r="L553" s="5"/>
      <c r="M553" s="5"/>
      <c r="N553" s="5"/>
      <c r="O553" s="5"/>
      <c r="P553" s="5"/>
      <c r="Q553" s="5"/>
      <c r="R553" s="5"/>
      <c r="S553" s="5"/>
      <c r="T553" s="5"/>
      <c r="U553" s="5"/>
      <c r="V553" s="5"/>
      <c r="W553" s="5"/>
      <c r="X553" s="5"/>
      <c r="Y553" s="5"/>
      <c r="Z553" s="5"/>
    </row>
    <row r="554" spans="1:26" ht="12.5" x14ac:dyDescent="0.25">
      <c r="A554" s="5" t="s">
        <v>1016</v>
      </c>
      <c r="B554" s="5" t="str">
        <f ca="1">IFERROR(__xludf.DUMMYFUNCTION("AI(""Fill an appropriate value for this cell based on the table context"")"),"surrender or give in to an opponent or demand")</f>
        <v>surrender or give in to an opponent or demand</v>
      </c>
      <c r="C554" s="5" t="str">
        <f ca="1">IFERROR(__xludf.DUMMYFUNCTION("AI(""Fill an appropriate value for this cell based on the table context"")"),"surrender, yield, submit")</f>
        <v>surrender, yield, submit</v>
      </c>
      <c r="D554" s="5" t="str">
        <f ca="1">IFERROR(__xludf.DUMMYFUNCTION("AI(""Fill an appropriate value for this cell based on the table context"")"),"After a prolonged siege, the defenders were forced to capitulate to the enemy forces.")</f>
        <v>After a prolonged siege, the defenders were forced to capitulate to the enemy forces.</v>
      </c>
      <c r="E554" s="5"/>
      <c r="F554" s="5"/>
      <c r="G554" s="5"/>
      <c r="H554" s="5"/>
      <c r="I554" s="5"/>
      <c r="J554" s="5"/>
      <c r="K554" s="5"/>
      <c r="L554" s="5"/>
      <c r="M554" s="5"/>
      <c r="N554" s="5"/>
      <c r="O554" s="5"/>
      <c r="P554" s="5"/>
      <c r="Q554" s="5"/>
      <c r="R554" s="5"/>
      <c r="S554" s="5"/>
      <c r="T554" s="5"/>
      <c r="U554" s="5"/>
      <c r="V554" s="5"/>
      <c r="W554" s="5"/>
      <c r="X554" s="5"/>
      <c r="Y554" s="5"/>
      <c r="Z554" s="5"/>
    </row>
    <row r="555" spans="1:26" ht="12.5" x14ac:dyDescent="0.25">
      <c r="A555" s="5" t="s">
        <v>1017</v>
      </c>
      <c r="B555" s="5" t="str">
        <f ca="1">IFERROR(__xludf.DUMMYFUNCTION("AI(""Fill an appropriate value for this cell based on the table context"")"),"naive, simplistic, or lacking interest and substance")</f>
        <v>naive, simplistic, or lacking interest and substance</v>
      </c>
      <c r="C555" s="5" t="str">
        <f ca="1">IFERROR(__xludf.DUMMYFUNCTION("AI(""Fill an appropriate value for this cell based on the table context"")"),"naive, juvenile, dull")</f>
        <v>naive, juvenile, dull</v>
      </c>
      <c r="D555" s="5" t="str">
        <f ca="1">IFERROR(__xludf.DUMMYFUNCTION("AI(""Fill an appropriate value for this cell based on the table context"")"),"The critic dismissed the author's latest novel as jejune and lacking intellectual depth.")</f>
        <v>The critic dismissed the author's latest novel as jejune and lacking intellectual depth.</v>
      </c>
      <c r="E555" s="5"/>
      <c r="F555" s="5"/>
      <c r="G555" s="5"/>
      <c r="H555" s="5"/>
      <c r="I555" s="5"/>
      <c r="J555" s="5"/>
      <c r="K555" s="5"/>
      <c r="L555" s="5"/>
      <c r="M555" s="5"/>
      <c r="N555" s="5"/>
      <c r="O555" s="5"/>
      <c r="P555" s="5"/>
      <c r="Q555" s="5"/>
      <c r="R555" s="5"/>
      <c r="S555" s="5"/>
      <c r="T555" s="5"/>
      <c r="U555" s="5"/>
      <c r="V555" s="5"/>
      <c r="W555" s="5"/>
      <c r="X555" s="5"/>
      <c r="Y555" s="5"/>
      <c r="Z555" s="5"/>
    </row>
    <row r="556" spans="1:26" ht="12.5" x14ac:dyDescent="0.25">
      <c r="A556" s="5" t="s">
        <v>1018</v>
      </c>
      <c r="B556" s="5" t="str">
        <f ca="1">IFERROR(__xludf.DUMMYFUNCTION("AI(""Fill an appropriate value for this cell based on the table context"")"),"talk or act in a loud, boastful, or aggressive manner")</f>
        <v>talk or act in a loud, boastful, or aggressive manner</v>
      </c>
      <c r="C556" s="5" t="str">
        <f ca="1">IFERROR(__xludf.DUMMYFUNCTION("AI(""Fill an appropriate value for this cell based on the table context"")"),"swagger, brag, rant")</f>
        <v>swagger, brag, rant</v>
      </c>
      <c r="D556" s="5" t="str">
        <f ca="1">IFERROR(__xludf.DUMMYFUNCTION("AI(""Fill an appropriate value for this cell based on the table context"")"),"Despite all his angry bluster, he ultimately took no action to stop the decision.")</f>
        <v>Despite all his angry bluster, he ultimately took no action to stop the decision.</v>
      </c>
      <c r="E556" s="5"/>
      <c r="F556" s="5"/>
      <c r="G556" s="5"/>
      <c r="H556" s="5"/>
      <c r="I556" s="5"/>
      <c r="J556" s="5"/>
      <c r="K556" s="5"/>
      <c r="L556" s="5"/>
      <c r="M556" s="5"/>
      <c r="N556" s="5"/>
      <c r="O556" s="5"/>
      <c r="P556" s="5"/>
      <c r="Q556" s="5"/>
      <c r="R556" s="5"/>
      <c r="S556" s="5"/>
      <c r="T556" s="5"/>
      <c r="U556" s="5"/>
      <c r="V556" s="5"/>
      <c r="W556" s="5"/>
      <c r="X556" s="5"/>
      <c r="Y556" s="5"/>
      <c r="Z556" s="5"/>
    </row>
    <row r="557" spans="1:26" ht="12.5" x14ac:dyDescent="0.25">
      <c r="A557" s="5" t="s">
        <v>1019</v>
      </c>
      <c r="B557" s="5" t="str">
        <f ca="1">IFERROR(__xludf.DUMMYFUNCTION("AI(""Fill an appropriate value for this cell based on the table context"")"),"bend the knee or touch one knee to the floor in reverence or worship")</f>
        <v>bend the knee or touch one knee to the floor in reverence or worship</v>
      </c>
      <c r="C557" s="5" t="str">
        <f ca="1">IFERROR(__xludf.DUMMYFUNCTION("AI(""Fill an appropriate value for this cell based on the table context"")"),"kneel, bow, curtsy")</f>
        <v>kneel, bow, curtsy</v>
      </c>
      <c r="D557" s="5" t="str">
        <f ca="1">IFERROR(__xludf.DUMMYFUNCTION("AI(""Fill an appropriate value for this cell based on the table context"")"),"He paused to genuflect before entering the church.")</f>
        <v>He paused to genuflect before entering the church.</v>
      </c>
      <c r="E557" s="5"/>
      <c r="F557" s="5"/>
      <c r="G557" s="5"/>
      <c r="H557" s="5"/>
      <c r="I557" s="5"/>
      <c r="J557" s="5"/>
      <c r="K557" s="5"/>
      <c r="L557" s="5"/>
      <c r="M557" s="5"/>
      <c r="N557" s="5"/>
      <c r="O557" s="5"/>
      <c r="P557" s="5"/>
      <c r="Q557" s="5"/>
      <c r="R557" s="5"/>
      <c r="S557" s="5"/>
      <c r="T557" s="5"/>
      <c r="U557" s="5"/>
      <c r="V557" s="5"/>
      <c r="W557" s="5"/>
      <c r="X557" s="5"/>
      <c r="Y557" s="5"/>
      <c r="Z557" s="5"/>
    </row>
    <row r="558" spans="1:26" ht="12.5" x14ac:dyDescent="0.25">
      <c r="A558" s="5" t="s">
        <v>1020</v>
      </c>
      <c r="B558" s="5" t="str">
        <f ca="1">IFERROR(__xludf.DUMMYFUNCTION("AI(""Fill an appropriate value for this cell based on the table context"")"),"the highest point or culmination of something")</f>
        <v>the highest point or culmination of something</v>
      </c>
      <c r="C558" s="5" t="str">
        <f ca="1">IFERROR(__xludf.DUMMYFUNCTION("AI(""Fill an appropriate value for this cell based on the table context"")"),"zenith, pinnacle, apex")</f>
        <v>zenith, pinnacle, apex</v>
      </c>
      <c r="D558" s="5" t="str">
        <f ca="1">IFERROR(__xludf.DUMMYFUNCTION("AI(""Fill an appropriate value for this cell based on the table context"")"),"The launch of the space telescope marked the apogee of her scientific career.")</f>
        <v>The launch of the space telescope marked the apogee of her scientific career.</v>
      </c>
      <c r="E558" s="5"/>
      <c r="F558" s="5"/>
      <c r="G558" s="5"/>
      <c r="H558" s="5"/>
      <c r="I558" s="5"/>
      <c r="J558" s="5"/>
      <c r="K558" s="5"/>
      <c r="L558" s="5"/>
      <c r="M558" s="5"/>
      <c r="N558" s="5"/>
      <c r="O558" s="5"/>
      <c r="P558" s="5"/>
      <c r="Q558" s="5"/>
      <c r="R558" s="5"/>
      <c r="S558" s="5"/>
      <c r="T558" s="5"/>
      <c r="U558" s="5"/>
      <c r="V558" s="5"/>
      <c r="W558" s="5"/>
      <c r="X558" s="5"/>
      <c r="Y558" s="5"/>
      <c r="Z558" s="5"/>
    </row>
    <row r="559" spans="1:26" ht="12.5" x14ac:dyDescent="0.25">
      <c r="A559" s="5" t="s">
        <v>1021</v>
      </c>
      <c r="B559" s="5" t="str">
        <f ca="1">IFERROR(__xludf.DUMMYFUNCTION("AI(""Fill an appropriate value for this cell based on the table context"")"),"having or encouraging an excessive interest in sexual matters")</f>
        <v>having or encouraging an excessive interest in sexual matters</v>
      </c>
      <c r="C559" s="5" t="str">
        <f ca="1">IFERROR(__xludf.DUMMYFUNCTION("AI(""Fill an appropriate value for this cell based on the table context"")"),"lascivious, lewd, lustful")</f>
        <v>lascivious, lewd, lustful</v>
      </c>
      <c r="D559" s="5" t="str">
        <f ca="1">IFERROR(__xludf.DUMMYFUNCTION("AI(""Fill an appropriate value for this cell based on the table context"")"),"The novel was criticized for focusing too much on prurient details rather than plot.")</f>
        <v>The novel was criticized for focusing too much on prurient details rather than plot.</v>
      </c>
      <c r="E559" s="5"/>
      <c r="F559" s="5"/>
      <c r="G559" s="5"/>
      <c r="H559" s="5"/>
      <c r="I559" s="5"/>
      <c r="J559" s="5"/>
      <c r="K559" s="5"/>
      <c r="L559" s="5"/>
      <c r="M559" s="5"/>
      <c r="N559" s="5"/>
      <c r="O559" s="5"/>
      <c r="P559" s="5"/>
      <c r="Q559" s="5"/>
      <c r="R559" s="5"/>
      <c r="S559" s="5"/>
      <c r="T559" s="5"/>
      <c r="U559" s="5"/>
      <c r="V559" s="5"/>
      <c r="W559" s="5"/>
      <c r="X559" s="5"/>
      <c r="Y559" s="5"/>
      <c r="Z559" s="5"/>
    </row>
    <row r="560" spans="1:26" ht="12.5" x14ac:dyDescent="0.25">
      <c r="A560" s="5" t="s">
        <v>1022</v>
      </c>
      <c r="B560" s="5" t="str">
        <f ca="1">IFERROR(__xludf.DUMMYFUNCTION("AI(""Fill an appropriate value for this cell based on the table context"")"),"treating sexual matters in an indecent or lustful way")</f>
        <v>treating sexual matters in an indecent or lustful way</v>
      </c>
      <c r="C560" s="5" t="str">
        <f ca="1">IFERROR(__xludf.DUMMYFUNCTION("AI(""Fill an appropriate value for this cell based on the table context"")"),"obscene, indecent, lewd")</f>
        <v>obscene, indecent, lewd</v>
      </c>
      <c r="D560" s="5" t="str">
        <f ca="1">IFERROR(__xludf.DUMMYFUNCTION("AI(""Fill an appropriate value for this cell based on the table context"")"),"The tabloid published a salacious story about the celebrity's private life.")</f>
        <v>The tabloid published a salacious story about the celebrity's private life.</v>
      </c>
      <c r="E560" s="5"/>
      <c r="F560" s="5"/>
      <c r="G560" s="5"/>
      <c r="H560" s="5"/>
      <c r="I560" s="5"/>
      <c r="J560" s="5"/>
      <c r="K560" s="5"/>
      <c r="L560" s="5"/>
      <c r="M560" s="5"/>
      <c r="N560" s="5"/>
      <c r="O560" s="5"/>
      <c r="P560" s="5"/>
      <c r="Q560" s="5"/>
      <c r="R560" s="5"/>
      <c r="S560" s="5"/>
      <c r="T560" s="5"/>
      <c r="U560" s="5"/>
      <c r="V560" s="5"/>
      <c r="W560" s="5"/>
      <c r="X560" s="5"/>
      <c r="Y560" s="5"/>
      <c r="Z560" s="5"/>
    </row>
    <row r="561" spans="1:26" ht="12.5" x14ac:dyDescent="0.25">
      <c r="A561" s="5" t="s">
        <v>1023</v>
      </c>
      <c r="B561" s="5" t="str">
        <f ca="1">IFERROR(__xludf.DUMMYFUNCTION("AI(""Fill an appropriate value for this cell based on the table context"")"),"presenting favorable conditions or showing signs of success")</f>
        <v>presenting favorable conditions or showing signs of success</v>
      </c>
      <c r="C561" s="5" t="str">
        <f ca="1">IFERROR(__xludf.DUMMYFUNCTION("AI(""Fill an appropriate value for this cell based on the table context"")"),"favorable, auspicious, promising")</f>
        <v>favorable, auspicious, promising</v>
      </c>
      <c r="D561" s="5" t="str">
        <f ca="1">IFERROR(__xludf.DUMMYFUNCTION("AI(""Fill an appropriate value for this cell based on the table context"")"),"The clear skies and warm breeze made it a propitious moment to start the sailing competition.")</f>
        <v>The clear skies and warm breeze made it a propitious moment to start the sailing competition.</v>
      </c>
      <c r="E561" s="5"/>
      <c r="F561" s="5"/>
      <c r="G561" s="5"/>
      <c r="H561" s="5"/>
      <c r="I561" s="5"/>
      <c r="J561" s="5"/>
      <c r="K561" s="5"/>
      <c r="L561" s="5"/>
      <c r="M561" s="5"/>
      <c r="N561" s="5"/>
      <c r="O561" s="5"/>
      <c r="P561" s="5"/>
      <c r="Q561" s="5"/>
      <c r="R561" s="5"/>
      <c r="S561" s="5"/>
      <c r="T561" s="5"/>
      <c r="U561" s="5"/>
      <c r="V561" s="5"/>
      <c r="W561" s="5"/>
      <c r="X561" s="5"/>
      <c r="Y561" s="5"/>
      <c r="Z561" s="5"/>
    </row>
    <row r="562" spans="1:26" ht="12.5" x14ac:dyDescent="0.25">
      <c r="A562" s="5" t="s">
        <v>1024</v>
      </c>
      <c r="B562" s="5" t="str">
        <f ca="1">IFERROR(__xludf.DUMMYFUNCTION("AI(""Fill an appropriate value for this cell based on the table context"")"),"the lowest point of something")</f>
        <v>the lowest point of something</v>
      </c>
      <c r="C562" s="5" t="str">
        <f ca="1">IFERROR(__xludf.DUMMYFUNCTION("AI(""Fill an appropriate value for this cell based on the table context"")"),"bottom, rock bottom, lowest point")</f>
        <v>bottom, rock bottom, lowest point</v>
      </c>
      <c r="D562" s="5" t="str">
        <f ca="1">IFERROR(__xludf.DUMMYFUNCTION("AI(""Fill an appropriate value for this cell based on the table context"")"),"Losing his job and home in the same week represented the nadir of his life.")</f>
        <v>Losing his job and home in the same week represented the nadir of his life.</v>
      </c>
      <c r="E562" s="5"/>
      <c r="F562" s="5"/>
      <c r="G562" s="5"/>
      <c r="H562" s="5"/>
      <c r="I562" s="5"/>
      <c r="J562" s="5"/>
      <c r="K562" s="5"/>
      <c r="L562" s="5"/>
      <c r="M562" s="5"/>
      <c r="N562" s="5"/>
      <c r="O562" s="5"/>
      <c r="P562" s="5"/>
      <c r="Q562" s="5"/>
      <c r="R562" s="5"/>
      <c r="S562" s="5"/>
      <c r="T562" s="5"/>
      <c r="U562" s="5"/>
      <c r="V562" s="5"/>
      <c r="W562" s="5"/>
      <c r="X562" s="5"/>
      <c r="Y562" s="5"/>
      <c r="Z562" s="5"/>
    </row>
    <row r="563" spans="1:26" ht="12.5" x14ac:dyDescent="0.25">
      <c r="A563" s="5" t="s">
        <v>1025</v>
      </c>
      <c r="B563" s="5" t="str">
        <f ca="1">IFERROR(__xludf.DUMMYFUNCTION("AI(""Fill an appropriate value for this cell based on the table context"")"),"waste away or decline from disuse")</f>
        <v>waste away or decline from disuse</v>
      </c>
      <c r="C563" s="5" t="str">
        <f ca="1">IFERROR(__xludf.DUMMYFUNCTION("AI(""Fill an appropriate value for this cell based on the table context"")"),"wither, deteriorate, decay")</f>
        <v>wither, deteriorate, decay</v>
      </c>
      <c r="D563" s="5" t="str">
        <f ca="1">IFERROR(__xludf.DUMMYFUNCTION("AI(""Fill an appropriate value for this cell based on the table context"")"),"Without regular physical therapy, the muscles in his injured leg began to atrophy.")</f>
        <v>Without regular physical therapy, the muscles in his injured leg began to atrophy.</v>
      </c>
      <c r="E563" s="5"/>
      <c r="F563" s="5"/>
      <c r="G563" s="5"/>
      <c r="H563" s="5"/>
      <c r="I563" s="5"/>
      <c r="J563" s="5"/>
      <c r="K563" s="5"/>
      <c r="L563" s="5"/>
      <c r="M563" s="5"/>
      <c r="N563" s="5"/>
      <c r="O563" s="5"/>
      <c r="P563" s="5"/>
      <c r="Q563" s="5"/>
      <c r="R563" s="5"/>
      <c r="S563" s="5"/>
      <c r="T563" s="5"/>
      <c r="U563" s="5"/>
      <c r="V563" s="5"/>
      <c r="W563" s="5"/>
      <c r="X563" s="5"/>
      <c r="Y563" s="5"/>
      <c r="Z563" s="5"/>
    </row>
    <row r="564" spans="1:26" ht="12.5" x14ac:dyDescent="0.25">
      <c r="A564" s="5" t="s">
        <v>1026</v>
      </c>
      <c r="B564" s="5" t="str">
        <f ca="1">IFERROR(__xludf.DUMMYFUNCTION("AI(""Fill an appropriate value for this cell based on the table context"")"),"decay or disintegrate slowly")</f>
        <v>decay or disintegrate slowly</v>
      </c>
      <c r="C564" s="5" t="str">
        <f ca="1">IFERROR(__xludf.DUMMYFUNCTION("AI(""Fill an appropriate value for this cell based on the table context"")"),"rot, decompose, decay")</f>
        <v>rot, decompose, decay</v>
      </c>
      <c r="D564" s="5" t="str">
        <f ca="1">IFERROR(__xludf.DUMMYFUNCTION("AI(""Fill an appropriate value for this cell based on the table context"")"),"Left forgotten in the damp cellar, the old wooden crates began to molder.")</f>
        <v>Left forgotten in the damp cellar, the old wooden crates began to molder.</v>
      </c>
      <c r="E564" s="5"/>
      <c r="F564" s="5"/>
      <c r="G564" s="5"/>
      <c r="H564" s="5"/>
      <c r="I564" s="5"/>
      <c r="J564" s="5"/>
      <c r="K564" s="5"/>
      <c r="L564" s="5"/>
      <c r="M564" s="5"/>
      <c r="N564" s="5"/>
      <c r="O564" s="5"/>
      <c r="P564" s="5"/>
      <c r="Q564" s="5"/>
      <c r="R564" s="5"/>
      <c r="S564" s="5"/>
      <c r="T564" s="5"/>
      <c r="U564" s="5"/>
      <c r="V564" s="5"/>
      <c r="W564" s="5"/>
      <c r="X564" s="5"/>
      <c r="Y564" s="5"/>
      <c r="Z564" s="5"/>
    </row>
    <row r="565" spans="1:26" ht="12.5" x14ac:dyDescent="0.25">
      <c r="A565" s="5" t="s">
        <v>1027</v>
      </c>
      <c r="B565" s="5" t="str">
        <f ca="1">IFERROR(__xludf.DUMMYFUNCTION("AI(""Fill an appropriate value for this cell based on the table context"")"),"grow weak or feeble")</f>
        <v>grow weak or feeble</v>
      </c>
      <c r="C565" s="5" t="str">
        <f ca="1">IFERROR(__xludf.DUMMYFUNCTION("AI(""Fill an appropriate value for this cell based on the table context"")"),"weaken, decline, wither")</f>
        <v>weaken, decline, wither</v>
      </c>
      <c r="D565" s="5" t="str">
        <f ca="1">IFERROR(__xludf.DUMMYFUNCTION("AI(""Fill an appropriate value for this cell based on the table context"")"),"The project was left to languish without proper funding or leadership.")</f>
        <v>The project was left to languish without proper funding or leadership.</v>
      </c>
      <c r="E565" s="5"/>
      <c r="F565" s="5"/>
      <c r="G565" s="5"/>
      <c r="H565" s="5"/>
      <c r="I565" s="5"/>
      <c r="J565" s="5"/>
      <c r="K565" s="5"/>
      <c r="L565" s="5"/>
      <c r="M565" s="5"/>
      <c r="N565" s="5"/>
      <c r="O565" s="5"/>
      <c r="P565" s="5"/>
      <c r="Q565" s="5"/>
      <c r="R565" s="5"/>
      <c r="S565" s="5"/>
      <c r="T565" s="5"/>
      <c r="U565" s="5"/>
      <c r="V565" s="5"/>
      <c r="W565" s="5"/>
      <c r="X565" s="5"/>
      <c r="Y565" s="5"/>
      <c r="Z565" s="5"/>
    </row>
    <row r="566" spans="1:26" ht="12.5" x14ac:dyDescent="0.25">
      <c r="A566" s="5" t="s">
        <v>1028</v>
      </c>
      <c r="B566" s="5" t="str">
        <f ca="1">IFERROR(__xludf.DUMMYFUNCTION("AI(""Fill an appropriate value for this cell based on the table context"")"),"cheerful and lighthearted")</f>
        <v>cheerful and lighthearted</v>
      </c>
      <c r="C566" s="5" t="str">
        <f ca="1">IFERROR(__xludf.DUMMYFUNCTION("AI(""Fill an appropriate value for this cell based on the table context"")"),"cheerful, merry, jovial")</f>
        <v>cheerful, merry, jovial</v>
      </c>
      <c r="D566" s="5" t="str">
        <f ca="1">IFERROR(__xludf.DUMMYFUNCTION("AI(""Fill an appropriate value for this cell based on the table context"")"),"Her jocund laughter quickly lightened the mood in the quiet room.")</f>
        <v>Her jocund laughter quickly lightened the mood in the quiet room.</v>
      </c>
      <c r="E566" s="5"/>
      <c r="F566" s="5"/>
      <c r="G566" s="5"/>
      <c r="H566" s="5"/>
      <c r="I566" s="5"/>
      <c r="J566" s="5"/>
      <c r="K566" s="5"/>
      <c r="L566" s="5"/>
      <c r="M566" s="5"/>
      <c r="N566" s="5"/>
      <c r="O566" s="5"/>
      <c r="P566" s="5"/>
      <c r="Q566" s="5"/>
      <c r="R566" s="5"/>
      <c r="S566" s="5"/>
      <c r="T566" s="5"/>
      <c r="U566" s="5"/>
      <c r="V566" s="5"/>
      <c r="W566" s="5"/>
      <c r="X566" s="5"/>
      <c r="Y566" s="5"/>
      <c r="Z566" s="5"/>
    </row>
    <row r="567" spans="1:26" ht="12.5" x14ac:dyDescent="0.25">
      <c r="A567" s="5" t="s">
        <v>1029</v>
      </c>
      <c r="B567" s="5" t="str">
        <f ca="1">IFERROR(__xludf.DUMMYFUNCTION("AI(""Fill an appropriate value for this cell based on the table context"")"),"a complicated or confusing situation")</f>
        <v>a complicated or confusing situation</v>
      </c>
      <c r="C567" s="5" t="str">
        <f ca="1">IFERROR(__xludf.DUMMYFUNCTION("AI(""Fill an appropriate value for this cell based on the table context"")"),"dispute, entanglement, altercation")</f>
        <v>dispute, entanglement, altercation</v>
      </c>
      <c r="D567" s="5" t="str">
        <f ca="1">IFERROR(__xludf.DUMMYFUNCTION("AI(""Fill an appropriate value for this cell based on the table context"")"),"The political imbroglio worsened as both parties refused to negotiate.")</f>
        <v>The political imbroglio worsened as both parties refused to negotiate.</v>
      </c>
      <c r="E567" s="5"/>
      <c r="F567" s="5"/>
      <c r="G567" s="5"/>
      <c r="H567" s="5"/>
      <c r="I567" s="5"/>
      <c r="J567" s="5"/>
      <c r="K567" s="5"/>
      <c r="L567" s="5"/>
      <c r="M567" s="5"/>
      <c r="N567" s="5"/>
      <c r="O567" s="5"/>
      <c r="P567" s="5"/>
      <c r="Q567" s="5"/>
      <c r="R567" s="5"/>
      <c r="S567" s="5"/>
      <c r="T567" s="5"/>
      <c r="U567" s="5"/>
      <c r="V567" s="5"/>
      <c r="W567" s="5"/>
      <c r="X567" s="5"/>
      <c r="Y567" s="5"/>
      <c r="Z567" s="5"/>
    </row>
    <row r="568" spans="1:26" ht="12.5" x14ac:dyDescent="0.25">
      <c r="A568" s="5" t="s">
        <v>1030</v>
      </c>
      <c r="B568" s="5" t="str">
        <f ca="1">IFERROR(__xludf.DUMMYFUNCTION("AI(""Fill an appropriate value for this cell based on the table context"")"),"make or become wider or larger")</f>
        <v>make or become wider or larger</v>
      </c>
      <c r="C568" s="5" t="str">
        <f ca="1">IFERROR(__xludf.DUMMYFUNCTION("AI(""Fill an appropriate value for this cell based on the table context"")"),"expand, enlarge, widen")</f>
        <v>expand, enlarge, widen</v>
      </c>
      <c r="D568" s="5" t="str">
        <f ca="1">IFERROR(__xludf.DUMMYFUNCTION("AI(""Fill an appropriate value for this cell based on the table context"")"),"The doctor used special eyedrops to dilate her pupils during the exam.")</f>
        <v>The doctor used special eyedrops to dilate her pupils during the exam.</v>
      </c>
      <c r="E568" s="5"/>
      <c r="F568" s="5"/>
      <c r="G568" s="5"/>
      <c r="H568" s="5"/>
      <c r="I568" s="5"/>
      <c r="J568" s="5"/>
      <c r="K568" s="5"/>
      <c r="L568" s="5"/>
      <c r="M568" s="5"/>
      <c r="N568" s="5"/>
      <c r="O568" s="5"/>
      <c r="P568" s="5"/>
      <c r="Q568" s="5"/>
      <c r="R568" s="5"/>
      <c r="S568" s="5"/>
      <c r="T568" s="5"/>
      <c r="U568" s="5"/>
      <c r="V568" s="5"/>
      <c r="W568" s="5"/>
      <c r="X568" s="5"/>
      <c r="Y568" s="5"/>
      <c r="Z568" s="5"/>
    </row>
    <row r="569" spans="1:26" ht="12.5" x14ac:dyDescent="0.25">
      <c r="A569" s="5" t="s">
        <v>1031</v>
      </c>
      <c r="B569" s="5" t="str">
        <f ca="1">IFERROR(__xludf.DUMMYFUNCTION("AI(""Fill an appropriate value for this cell based on the table context"")"),"speak or write at length or in detail")</f>
        <v>speak or write at length or in detail</v>
      </c>
      <c r="C569" s="5" t="str">
        <f ca="1">IFERROR(__xludf.DUMMYFUNCTION("AI(""Fill an appropriate value for this cell based on the table context"")"),"discourse, declaim, elaborate")</f>
        <v>discourse, declaim, elaborate</v>
      </c>
      <c r="D569" s="5" t="str">
        <f ca="1">IFERROR(__xludf.DUMMYFUNCTION("AI(""Fill an appropriate value for this cell based on the table context"")"),"The professor began to expatiate at length on the historical significance of the discovery.")</f>
        <v>The professor began to expatiate at length on the historical significance of the discovery.</v>
      </c>
      <c r="E569" s="5"/>
      <c r="F569" s="5"/>
      <c r="G569" s="5"/>
      <c r="H569" s="5"/>
      <c r="I569" s="5"/>
      <c r="J569" s="5"/>
      <c r="K569" s="5"/>
      <c r="L569" s="5"/>
      <c r="M569" s="5"/>
      <c r="N569" s="5"/>
      <c r="O569" s="5"/>
      <c r="P569" s="5"/>
      <c r="Q569" s="5"/>
      <c r="R569" s="5"/>
      <c r="S569" s="5"/>
      <c r="T569" s="5"/>
      <c r="U569" s="5"/>
      <c r="V569" s="5"/>
      <c r="W569" s="5"/>
      <c r="X569" s="5"/>
      <c r="Y569" s="5"/>
      <c r="Z569" s="5"/>
    </row>
    <row r="570" spans="1:26" ht="12.5" x14ac:dyDescent="0.25">
      <c r="A570" s="5" t="s">
        <v>1032</v>
      </c>
      <c r="B570" s="5" t="str">
        <f ca="1">IFERROR(__xludf.DUMMYFUNCTION("AI(""Fill an appropriate value for this cell based on the table context"")"),"a level or rank in an organization or society")</f>
        <v>a level or rank in an organization or society</v>
      </c>
      <c r="C570" s="5" t="str">
        <f ca="1">IFERROR(__xludf.DUMMYFUNCTION("AI(""Fill an appropriate value for this cell based on the table context"")"),"level, rank, stratum")</f>
        <v>level, rank, stratum</v>
      </c>
      <c r="D570" s="5" t="str">
        <f ca="1">IFERROR(__xludf.DUMMYFUNCTION("AI(""Fill an appropriate value for this cell based on the table context"")"),"She quickly rose to the upper echelon of the corporate world.")</f>
        <v>She quickly rose to the upper echelon of the corporate world.</v>
      </c>
      <c r="E570" s="5"/>
      <c r="F570" s="5"/>
      <c r="G570" s="5"/>
      <c r="H570" s="5"/>
      <c r="I570" s="5"/>
      <c r="J570" s="5"/>
      <c r="K570" s="5"/>
      <c r="L570" s="5"/>
      <c r="M570" s="5"/>
      <c r="N570" s="5"/>
      <c r="O570" s="5"/>
      <c r="P570" s="5"/>
      <c r="Q570" s="5"/>
      <c r="R570" s="5"/>
      <c r="S570" s="5"/>
      <c r="T570" s="5"/>
      <c r="U570" s="5"/>
      <c r="V570" s="5"/>
      <c r="W570" s="5"/>
      <c r="X570" s="5"/>
      <c r="Y570" s="5"/>
      <c r="Z570" s="5"/>
    </row>
    <row r="571" spans="1:26" ht="12.5" x14ac:dyDescent="0.25">
      <c r="A571" s="5" t="s">
        <v>1033</v>
      </c>
      <c r="B571" s="5" t="str">
        <f ca="1">IFERROR(__xludf.DUMMYFUNCTION("AI(""Fill an appropriate value for this cell based on the table context"")"),"a horizontal bar forming a step on a ladder")</f>
        <v>a horizontal bar forming a step on a ladder</v>
      </c>
      <c r="C571" s="5" t="str">
        <f ca="1">IFERROR(__xludf.DUMMYFUNCTION("AI(""Fill an appropriate value for this cell based on the table context"")"),"step, level, rank")</f>
        <v>step, level, rank</v>
      </c>
      <c r="D571" s="5" t="str">
        <f ca="1">IFERROR(__xludf.DUMMYFUNCTION("AI(""Fill an appropriate value for this cell based on the table context"")"),"He steadily climbed every rung of the organizational ladder.")</f>
        <v>He steadily climbed every rung of the organizational ladder.</v>
      </c>
      <c r="E571" s="5"/>
      <c r="F571" s="5"/>
      <c r="G571" s="5"/>
      <c r="H571" s="5"/>
      <c r="I571" s="5"/>
      <c r="J571" s="5"/>
      <c r="K571" s="5"/>
      <c r="L571" s="5"/>
      <c r="M571" s="5"/>
      <c r="N571" s="5"/>
      <c r="O571" s="5"/>
      <c r="P571" s="5"/>
      <c r="Q571" s="5"/>
      <c r="R571" s="5"/>
      <c r="S571" s="5"/>
      <c r="T571" s="5"/>
      <c r="U571" s="5"/>
      <c r="V571" s="5"/>
      <c r="W571" s="5"/>
      <c r="X571" s="5"/>
      <c r="Y571" s="5"/>
      <c r="Z571" s="5"/>
    </row>
    <row r="572" spans="1:26" ht="12.5" x14ac:dyDescent="0.25">
      <c r="A572" s="5" t="s">
        <v>1034</v>
      </c>
      <c r="B572" s="5" t="str">
        <f ca="1">IFERROR(__xludf.DUMMYFUNCTION("AI(""Fill an appropriate value for this cell based on the table context"")"),"unfashionable and dull in appearance")</f>
        <v>unfashionable and dull in appearance</v>
      </c>
      <c r="C572" s="5" t="str">
        <f ca="1">IFERROR(__xludf.DUMMYFUNCTION("AI(""Fill an appropriate value for this cell based on the table context"")"),"frumpy, unfashionable, shabby")</f>
        <v>frumpy, unfashionable, shabby</v>
      </c>
      <c r="D572" s="5" t="str">
        <f ca="1">IFERROR(__xludf.DUMMYFUNCTION("AI(""Fill an appropriate value for this cell based on the table context"")"),"She felt dowdy in her old knitted sweater compared to the fashionable crowd.")</f>
        <v>She felt dowdy in her old knitted sweater compared to the fashionable crowd.</v>
      </c>
      <c r="E572" s="5"/>
      <c r="F572" s="5"/>
      <c r="G572" s="5"/>
      <c r="H572" s="5"/>
      <c r="I572" s="5"/>
      <c r="J572" s="5"/>
      <c r="K572" s="5"/>
      <c r="L572" s="5"/>
      <c r="M572" s="5"/>
      <c r="N572" s="5"/>
      <c r="O572" s="5"/>
      <c r="P572" s="5"/>
      <c r="Q572" s="5"/>
      <c r="R572" s="5"/>
      <c r="S572" s="5"/>
      <c r="T572" s="5"/>
      <c r="U572" s="5"/>
      <c r="V572" s="5"/>
      <c r="W572" s="5"/>
      <c r="X572" s="5"/>
      <c r="Y572" s="5"/>
      <c r="Z572" s="5"/>
    </row>
    <row r="573" spans="1:26" ht="12.5" x14ac:dyDescent="0.25">
      <c r="A573" s="5" t="s">
        <v>1035</v>
      </c>
      <c r="B573" s="5" t="str">
        <f ca="1">IFERROR(__xludf.DUMMYFUNCTION("AI(""Fill an appropriate value for this cell based on the table context"")"),"old-fashioned and unfashionable in appearance")</f>
        <v>old-fashioned and unfashionable in appearance</v>
      </c>
      <c r="C573" s="5" t="str">
        <f ca="1">IFERROR(__xludf.DUMMYFUNCTION("AI(""Fill an appropriate value for this cell based on the table context"")"),"dowdy, unfashionable, drab")</f>
        <v>dowdy, unfashionable, drab</v>
      </c>
      <c r="D573" s="5" t="str">
        <f ca="1">IFERROR(__xludf.DUMMYFUNCTION("AI(""Fill an appropriate value for this cell based on the table context"")"),"The coat looked a bit frumpy, but it kept him remarkably warm.")</f>
        <v>The coat looked a bit frumpy, but it kept him remarkably warm.</v>
      </c>
      <c r="E573" s="5"/>
      <c r="F573" s="5"/>
      <c r="G573" s="5"/>
      <c r="H573" s="5"/>
      <c r="I573" s="5"/>
      <c r="J573" s="5"/>
      <c r="K573" s="5"/>
      <c r="L573" s="5"/>
      <c r="M573" s="5"/>
      <c r="N573" s="5"/>
      <c r="O573" s="5"/>
      <c r="P573" s="5"/>
      <c r="Q573" s="5"/>
      <c r="R573" s="5"/>
      <c r="S573" s="5"/>
      <c r="T573" s="5"/>
      <c r="U573" s="5"/>
      <c r="V573" s="5"/>
      <c r="W573" s="5"/>
      <c r="X573" s="5"/>
      <c r="Y573" s="5"/>
      <c r="Z573" s="5"/>
    </row>
    <row r="574" spans="1:26" ht="12.5" x14ac:dyDescent="0.25">
      <c r="A574" s="5" t="s">
        <v>1036</v>
      </c>
      <c r="B574" s="5" t="str">
        <f ca="1">IFERROR(__xludf.DUMMYFUNCTION("AI(""Fill an appropriate value for this cell based on the table context"")"),"primly old-fashioned or dowdy")</f>
        <v>primly old-fashioned or dowdy</v>
      </c>
      <c r="C574" s="5" t="str">
        <f ca="1">IFERROR(__xludf.DUMMYFUNCTION("AI(""Fill an appropriate value for this cell based on the table context"")"),"dowdy, frumpy, old-fashioned")</f>
        <v>dowdy, frumpy, old-fashioned</v>
      </c>
      <c r="D574" s="5" t="str">
        <f ca="1">IFERROR(__xludf.DUMMYFUNCTION("AI(""Fill an appropriate value for this cell based on the table context"")"),"Her frumpish outfit stood out among the glamorous evening gowns.")</f>
        <v>Her frumpish outfit stood out among the glamorous evening gowns.</v>
      </c>
      <c r="E574" s="5"/>
      <c r="F574" s="5"/>
      <c r="G574" s="5"/>
      <c r="H574" s="5"/>
      <c r="I574" s="5"/>
      <c r="J574" s="5"/>
      <c r="K574" s="5"/>
      <c r="L574" s="5"/>
      <c r="M574" s="5"/>
      <c r="N574" s="5"/>
      <c r="O574" s="5"/>
      <c r="P574" s="5"/>
      <c r="Q574" s="5"/>
      <c r="R574" s="5"/>
      <c r="S574" s="5"/>
      <c r="T574" s="5"/>
      <c r="U574" s="5"/>
      <c r="V574" s="5"/>
      <c r="W574" s="5"/>
      <c r="X574" s="5"/>
      <c r="Y574" s="5"/>
      <c r="Z574" s="5"/>
    </row>
    <row r="575" spans="1:26" ht="12.5" x14ac:dyDescent="0.25">
      <c r="A575" s="5" t="s">
        <v>1037</v>
      </c>
      <c r="B575" s="5" t="str">
        <f ca="1">IFERROR(__xludf.DUMMYFUNCTION("AI(""Fill an appropriate value for this cell based on the table context"")"),"the easing of strained relations between countries")</f>
        <v>the easing of strained relations between countries</v>
      </c>
      <c r="C575" s="5" t="str">
        <f ca="1">IFERROR(__xludf.DUMMYFUNCTION("AI(""Fill an appropriate value for this cell based on the table context"")"),"rapprochement, truce, conciliation")</f>
        <v>rapprochement, truce, conciliation</v>
      </c>
      <c r="D575" s="5" t="str">
        <f ca="1">IFERROR(__xludf.DUMMYFUNCTION("AI(""Fill an appropriate value for this cell based on the table context"")"),"The treaty initiated a period of detente between the rival nations.")</f>
        <v>The treaty initiated a period of detente between the rival nations.</v>
      </c>
      <c r="E575" s="5"/>
      <c r="F575" s="5"/>
      <c r="G575" s="5"/>
      <c r="H575" s="5"/>
      <c r="I575" s="5"/>
      <c r="J575" s="5"/>
      <c r="K575" s="5"/>
      <c r="L575" s="5"/>
      <c r="M575" s="5"/>
      <c r="N575" s="5"/>
      <c r="O575" s="5"/>
      <c r="P575" s="5"/>
      <c r="Q575" s="5"/>
      <c r="R575" s="5"/>
      <c r="S575" s="5"/>
      <c r="T575" s="5"/>
      <c r="U575" s="5"/>
      <c r="V575" s="5"/>
      <c r="W575" s="5"/>
      <c r="X575" s="5"/>
      <c r="Y575" s="5"/>
      <c r="Z575" s="5"/>
    </row>
    <row r="576" spans="1:26" ht="12.5" x14ac:dyDescent="0.25">
      <c r="A576" s="5" t="s">
        <v>1038</v>
      </c>
      <c r="B576" s="5" t="str">
        <f ca="1">IFERROR(__xludf.DUMMYFUNCTION("AI(""Fill an appropriate value for this cell based on the table context"")"),"an establishment or reestablishment of harmonious relations")</f>
        <v>an establishment or reestablishment of harmonious relations</v>
      </c>
      <c r="C576" s="5" t="str">
        <f ca="1">IFERROR(__xludf.DUMMYFUNCTION("AI(""Fill an appropriate value for this cell based on the table context"")"),"reconciliation, détente, conciliation")</f>
        <v>reconciliation, détente, conciliation</v>
      </c>
      <c r="D576" s="5" t="str">
        <f ca="1">IFERROR(__xludf.DUMMYFUNCTION("AI(""Fill an appropriate value for this cell based on the table context"")"),"The two neighboring countries signed a peace treaty to mark a new era of rapprochement.")</f>
        <v>The two neighboring countries signed a peace treaty to mark a new era of rapprochement.</v>
      </c>
      <c r="E576" s="5"/>
      <c r="F576" s="5"/>
      <c r="G576" s="5"/>
      <c r="H576" s="5"/>
      <c r="I576" s="5"/>
      <c r="J576" s="5"/>
      <c r="K576" s="5"/>
      <c r="L576" s="5"/>
      <c r="M576" s="5"/>
      <c r="N576" s="5"/>
      <c r="O576" s="5"/>
      <c r="P576" s="5"/>
      <c r="Q576" s="5"/>
      <c r="R576" s="5"/>
      <c r="S576" s="5"/>
      <c r="T576" s="5"/>
      <c r="U576" s="5"/>
      <c r="V576" s="5"/>
      <c r="W576" s="5"/>
      <c r="X576" s="5"/>
      <c r="Y576" s="5"/>
      <c r="Z576" s="5"/>
    </row>
    <row r="577" spans="1:26" ht="12.5" x14ac:dyDescent="0.25">
      <c r="A577" s="5" t="s">
        <v>1039</v>
      </c>
      <c r="B577" s="5" t="str">
        <f ca="1">IFERROR(__xludf.DUMMYFUNCTION("AI(""Fill an appropriate value for this cell based on the table context"")"),"sing with a trilling or quavering voice")</f>
        <v>sing with a trilling or quavering voice</v>
      </c>
      <c r="C577" s="5" t="str">
        <f ca="1">IFERROR(__xludf.DUMMYFUNCTION("AI(""Fill an appropriate value for this cell based on the table context"")"),"sing, trill, chirp")</f>
        <v>sing, trill, chirp</v>
      </c>
      <c r="D577" s="5" t="str">
        <f ca="1">IFERROR(__xludf.DUMMYFUNCTION("AI(""Fill an appropriate value for this cell based on the table context"")"),"A little bird began to warble a pleasant song outside her window.")</f>
        <v>A little bird began to warble a pleasant song outside her window.</v>
      </c>
      <c r="E577" s="5"/>
      <c r="F577" s="5"/>
      <c r="G577" s="5"/>
      <c r="H577" s="5"/>
      <c r="I577" s="5"/>
      <c r="J577" s="5"/>
      <c r="K577" s="5"/>
      <c r="L577" s="5"/>
      <c r="M577" s="5"/>
      <c r="N577" s="5"/>
      <c r="O577" s="5"/>
      <c r="P577" s="5"/>
      <c r="Q577" s="5"/>
      <c r="R577" s="5"/>
      <c r="S577" s="5"/>
      <c r="T577" s="5"/>
      <c r="U577" s="5"/>
      <c r="V577" s="5"/>
      <c r="W577" s="5"/>
      <c r="X577" s="5"/>
      <c r="Y577" s="5"/>
      <c r="Z577" s="5"/>
    </row>
    <row r="578" spans="1:26" ht="25" x14ac:dyDescent="0.25">
      <c r="A578" s="5" t="s">
        <v>1040</v>
      </c>
      <c r="B578" s="5" t="str">
        <f ca="1">IFERROR(__xludf.DUMMYFUNCTION("AI(""Fill an appropriate value for this cell based on the table context"")"),"a quavering or vibratory sound, especially a rapid alternation between two adjacent musical notes")</f>
        <v>a quavering or vibratory sound, especially a rapid alternation between two adjacent musical notes</v>
      </c>
      <c r="C578" s="5" t="str">
        <f ca="1">IFERROR(__xludf.DUMMYFUNCTION("AI(""Fill an appropriate value for this cell based on the table context"")"),"warble, quaver, twitter")</f>
        <v>warble, quaver, twitter</v>
      </c>
      <c r="D578" s="5" t="str">
        <f ca="1">IFERROR(__xludf.DUMMYFUNCTION("AI(""Fill an appropriate value for this cell based on the table context"")"),"The opera singer ended her performance with a beautiful, sustained trill.")</f>
        <v>The opera singer ended her performance with a beautiful, sustained trill.</v>
      </c>
      <c r="E578" s="5"/>
      <c r="F578" s="5"/>
      <c r="G578" s="5"/>
      <c r="H578" s="5"/>
      <c r="I578" s="5"/>
      <c r="J578" s="5"/>
      <c r="K578" s="5"/>
      <c r="L578" s="5"/>
      <c r="M578" s="5"/>
      <c r="N578" s="5"/>
      <c r="O578" s="5"/>
      <c r="P578" s="5"/>
      <c r="Q578" s="5"/>
      <c r="R578" s="5"/>
      <c r="S578" s="5"/>
      <c r="T578" s="5"/>
      <c r="U578" s="5"/>
      <c r="V578" s="5"/>
      <c r="W578" s="5"/>
      <c r="X578" s="5"/>
      <c r="Y578" s="5"/>
      <c r="Z578" s="5"/>
    </row>
    <row r="579" spans="1:26" ht="12.5" x14ac:dyDescent="0.25">
      <c r="A579" s="5" t="s">
        <v>1041</v>
      </c>
      <c r="B579" s="5" t="str">
        <f ca="1">IFERROR(__xludf.DUMMYFUNCTION("AI(""Fill an appropriate value for this cell based on the table context"")"),"a statement of guiding beliefs or principles")</f>
        <v>a statement of guiding beliefs or principles</v>
      </c>
      <c r="C579" s="5" t="str">
        <f ca="1">IFERROR(__xludf.DUMMYFUNCTION("AI(""Fill an appropriate value for this cell based on the table context"")"),"creed, doctrine, belief")</f>
        <v>creed, doctrine, belief</v>
      </c>
      <c r="D579" s="5" t="str">
        <f ca="1">IFERROR(__xludf.DUMMYFUNCTION("AI(""Fill an appropriate value for this cell based on the table context"")"),"Honesty and hard work had always been the core tenets of his personal credo.")</f>
        <v>Honesty and hard work had always been the core tenets of his personal credo.</v>
      </c>
      <c r="E579" s="5"/>
      <c r="F579" s="5"/>
      <c r="G579" s="5"/>
      <c r="H579" s="5"/>
      <c r="I579" s="5"/>
      <c r="J579" s="5"/>
      <c r="K579" s="5"/>
      <c r="L579" s="5"/>
      <c r="M579" s="5"/>
      <c r="N579" s="5"/>
      <c r="O579" s="5"/>
      <c r="P579" s="5"/>
      <c r="Q579" s="5"/>
      <c r="R579" s="5"/>
      <c r="S579" s="5"/>
      <c r="T579" s="5"/>
      <c r="U579" s="5"/>
      <c r="V579" s="5"/>
      <c r="W579" s="5"/>
      <c r="X579" s="5"/>
      <c r="Y579" s="5"/>
      <c r="Z579" s="5"/>
    </row>
    <row r="580" spans="1:26" ht="12.5" x14ac:dyDescent="0.25">
      <c r="A580" s="5" t="s">
        <v>1042</v>
      </c>
      <c r="B580" s="5" t="str">
        <f ca="1">IFERROR(__xludf.DUMMYFUNCTION("AI(""Fill an appropriate value for this cell based on the table context"")"),"an embarrassing or unfortunate event")</f>
        <v>an embarrassing or unfortunate event</v>
      </c>
      <c r="C580" s="5" t="str">
        <f ca="1">IFERROR(__xludf.DUMMYFUNCTION("AI(""Fill an appropriate value for this cell based on the table context"")"),"mishap, dispute, disagreement")</f>
        <v>mishap, dispute, disagreement</v>
      </c>
      <c r="D580" s="5" t="str">
        <f ca="1">IFERROR(__xludf.DUMMYFUNCTION("AI(""Fill an appropriate value for this cell based on the table context"")"),"An awkward contretemps at dinner left everyone feeling uneasy.")</f>
        <v>An awkward contretemps at dinner left everyone feeling uneasy.</v>
      </c>
      <c r="E580" s="5"/>
      <c r="F580" s="5"/>
      <c r="G580" s="5"/>
      <c r="H580" s="5"/>
      <c r="I580" s="5"/>
      <c r="J580" s="5"/>
      <c r="K580" s="5"/>
      <c r="L580" s="5"/>
      <c r="M580" s="5"/>
      <c r="N580" s="5"/>
      <c r="O580" s="5"/>
      <c r="P580" s="5"/>
      <c r="Q580" s="5"/>
      <c r="R580" s="5"/>
      <c r="S580" s="5"/>
      <c r="T580" s="5"/>
      <c r="U580" s="5"/>
      <c r="V580" s="5"/>
      <c r="W580" s="5"/>
      <c r="X580" s="5"/>
      <c r="Y580" s="5"/>
      <c r="Z580" s="5"/>
    </row>
    <row r="581" spans="1:26" ht="12.5" x14ac:dyDescent="0.25">
      <c r="A581" s="5" t="s">
        <v>1043</v>
      </c>
      <c r="B581" s="5" t="str">
        <f ca="1">IFERROR(__xludf.DUMMYFUNCTION("AI(""Fill an appropriate value for this cell based on the table context"")"),"express or feel sympathy or pity")</f>
        <v>express or feel sympathy or pity</v>
      </c>
      <c r="C581" s="5" t="str">
        <f ca="1">IFERROR(__xludf.DUMMYFUNCTION("AI(""Fill an appropriate value for this cell based on the table context"")"),"sympathize, condole, console")</f>
        <v>sympathize, condole, console</v>
      </c>
      <c r="D581" s="5" t="str">
        <f ca="1">IFERROR(__xludf.DUMMYFUNCTION("AI(""Fill an appropriate value for this cell based on the table context"")"),"Friends gathered at the cafe to commiserate over their shared losses.")</f>
        <v>Friends gathered at the cafe to commiserate over their shared losses.</v>
      </c>
      <c r="E581" s="5"/>
      <c r="F581" s="5"/>
      <c r="G581" s="5"/>
      <c r="H581" s="5"/>
      <c r="I581" s="5"/>
      <c r="J581" s="5"/>
      <c r="K581" s="5"/>
      <c r="L581" s="5"/>
      <c r="M581" s="5"/>
      <c r="N581" s="5"/>
      <c r="O581" s="5"/>
      <c r="P581" s="5"/>
      <c r="Q581" s="5"/>
      <c r="R581" s="5"/>
      <c r="S581" s="5"/>
      <c r="T581" s="5"/>
      <c r="U581" s="5"/>
      <c r="V581" s="5"/>
      <c r="W581" s="5"/>
      <c r="X581" s="5"/>
      <c r="Y581" s="5"/>
      <c r="Z581" s="5"/>
    </row>
    <row r="582" spans="1:26" ht="12.5" x14ac:dyDescent="0.25">
      <c r="A582" s="5" t="s">
        <v>1044</v>
      </c>
      <c r="B582" s="5" t="str">
        <f ca="1">IFERROR(__xludf.DUMMYFUNCTION("AI(""Fill an appropriate value for this cell based on the table context"")"),"humorously indecent or vulgar")</f>
        <v>humorously indecent or vulgar</v>
      </c>
      <c r="C582" s="5" t="str">
        <f ca="1">IFERROR(__xludf.DUMMYFUNCTION("AI(""Fill an appropriate value for this cell based on the table context"")"),"ribald, obscene, vulgar")</f>
        <v>ribald, obscene, vulgar</v>
      </c>
      <c r="D582" s="5" t="str">
        <f ca="1">IFERROR(__xludf.DUMMYFUNCTION("AI(""Fill an appropriate value for this cell based on the table context"")"),"The audience laughed loudly at the comedian's bawdy jokes.")</f>
        <v>The audience laughed loudly at the comedian's bawdy jokes.</v>
      </c>
      <c r="E582" s="5"/>
      <c r="F582" s="5"/>
      <c r="G582" s="5"/>
      <c r="H582" s="5"/>
      <c r="I582" s="5"/>
      <c r="J582" s="5"/>
      <c r="K582" s="5"/>
      <c r="L582" s="5"/>
      <c r="M582" s="5"/>
      <c r="N582" s="5"/>
      <c r="O582" s="5"/>
      <c r="P582" s="5"/>
      <c r="Q582" s="5"/>
      <c r="R582" s="5"/>
      <c r="S582" s="5"/>
      <c r="T582" s="5"/>
      <c r="U582" s="5"/>
      <c r="V582" s="5"/>
      <c r="W582" s="5"/>
      <c r="X582" s="5"/>
      <c r="Y582" s="5"/>
      <c r="Z582" s="5"/>
    </row>
    <row r="583" spans="1:26" ht="12.5" x14ac:dyDescent="0.25">
      <c r="A583" s="5" t="s">
        <v>1045</v>
      </c>
      <c r="B583" s="5" t="str">
        <f ca="1">IFERROR(__xludf.DUMMYFUNCTION("AI(""Fill an appropriate value for this cell based on the table context"")"),"coarsely mocking or humorously indecent")</f>
        <v>coarsely mocking or humorously indecent</v>
      </c>
      <c r="C583" s="5" t="str">
        <f ca="1">IFERROR(__xludf.DUMMYFUNCTION("AI(""Fill an appropriate value for this cell based on the table context"")"),"bawdy, coarse, vulgar")</f>
        <v>bawdy, coarse, vulgar</v>
      </c>
      <c r="D583" s="5" t="str">
        <f ca="1">IFERROR(__xludf.DUMMYFUNCTION("AI(""Fill an appropriate value for this cell based on the table context"")"),"His ribald humor was not appropriate for the formal event.")</f>
        <v>His ribald humor was not appropriate for the formal event.</v>
      </c>
      <c r="E583" s="5"/>
      <c r="F583" s="5"/>
      <c r="G583" s="5"/>
      <c r="H583" s="5"/>
      <c r="I583" s="5"/>
      <c r="J583" s="5"/>
      <c r="K583" s="5"/>
      <c r="L583" s="5"/>
      <c r="M583" s="5"/>
      <c r="N583" s="5"/>
      <c r="O583" s="5"/>
      <c r="P583" s="5"/>
      <c r="Q583" s="5"/>
      <c r="R583" s="5"/>
      <c r="S583" s="5"/>
      <c r="T583" s="5"/>
      <c r="U583" s="5"/>
      <c r="V583" s="5"/>
      <c r="W583" s="5"/>
      <c r="X583" s="5"/>
      <c r="Y583" s="5"/>
      <c r="Z583" s="5"/>
    </row>
    <row r="584" spans="1:26" ht="12.5" x14ac:dyDescent="0.25">
      <c r="A584" s="5" t="s">
        <v>1046</v>
      </c>
      <c r="B584" s="5" t="str">
        <f ca="1">IFERROR(__xludf.DUMMYFUNCTION("AI(""Fill an appropriate value for this cell based on the table context"")"),"sexually suggestive or slightly indecent")</f>
        <v>sexually suggestive or slightly indecent</v>
      </c>
      <c r="C584" s="5" t="str">
        <f ca="1">IFERROR(__xludf.DUMMYFUNCTION("AI(""Fill an appropriate value for this cell based on the table context"")"),"suggestive, racy, daring")</f>
        <v>suggestive, racy, daring</v>
      </c>
      <c r="D584" s="5" t="str">
        <f ca="1">IFERROR(__xludf.DUMMYFUNCTION("AI(""Fill an appropriate value for this cell based on the table context"")"),"The play was considered risque for its time due to its controversial themes.")</f>
        <v>The play was considered risque for its time due to its controversial themes.</v>
      </c>
      <c r="E584" s="5"/>
      <c r="F584" s="5"/>
      <c r="G584" s="5"/>
      <c r="H584" s="5"/>
      <c r="I584" s="5"/>
      <c r="J584" s="5"/>
      <c r="K584" s="5"/>
      <c r="L584" s="5"/>
      <c r="M584" s="5"/>
      <c r="N584" s="5"/>
      <c r="O584" s="5"/>
      <c r="P584" s="5"/>
      <c r="Q584" s="5"/>
      <c r="R584" s="5"/>
      <c r="S584" s="5"/>
      <c r="T584" s="5"/>
      <c r="U584" s="5"/>
      <c r="V584" s="5"/>
      <c r="W584" s="5"/>
      <c r="X584" s="5"/>
      <c r="Y584" s="5"/>
      <c r="Z584" s="5"/>
    </row>
    <row r="585" spans="1:26" ht="12.5" x14ac:dyDescent="0.25">
      <c r="A585" s="5" t="s">
        <v>1047</v>
      </c>
      <c r="B585" s="5" t="str">
        <f ca="1">IFERROR(__xludf.DUMMYFUNCTION("AI(""Fill an appropriate value for this cell based on the table context"")"),"pleasantly stimulating or exciting, often sexually")</f>
        <v>pleasantly stimulating or exciting, often sexually</v>
      </c>
      <c r="C585" s="5" t="str">
        <f ca="1">IFERROR(__xludf.DUMMYFUNCTION("AI(""Fill an appropriate value for this cell based on the table context"")"),"provocative, exciting, tantalizing")</f>
        <v>provocative, exciting, tantalizing</v>
      </c>
      <c r="D585" s="5" t="str">
        <f ca="1">IFERROR(__xludf.DUMMYFUNCTION("AI(""Fill an appropriate value for this cell based on the table context"")"),"The magazine promised titillating details about the secret lives of celebrities.")</f>
        <v>The magazine promised titillating details about the secret lives of celebrities.</v>
      </c>
      <c r="E585" s="5"/>
      <c r="F585" s="5"/>
      <c r="G585" s="5"/>
      <c r="H585" s="5"/>
      <c r="I585" s="5"/>
      <c r="J585" s="5"/>
      <c r="K585" s="5"/>
      <c r="L585" s="5"/>
      <c r="M585" s="5"/>
      <c r="N585" s="5"/>
      <c r="O585" s="5"/>
      <c r="P585" s="5"/>
      <c r="Q585" s="5"/>
      <c r="R585" s="5"/>
      <c r="S585" s="5"/>
      <c r="T585" s="5"/>
      <c r="U585" s="5"/>
      <c r="V585" s="5"/>
      <c r="W585" s="5"/>
      <c r="X585" s="5"/>
      <c r="Y585" s="5"/>
      <c r="Z585" s="5"/>
    </row>
    <row r="586" spans="1:26" ht="12.5" x14ac:dyDescent="0.25">
      <c r="A586" s="5" t="s">
        <v>1048</v>
      </c>
      <c r="B586" s="5" t="str">
        <f ca="1">IFERROR(__xludf.DUMMYFUNCTION("AI(""Fill an appropriate value for this cell based on the table context"")"),"a disparaging or damaging remark")</f>
        <v>a disparaging or damaging remark</v>
      </c>
      <c r="C586" s="5" t="str">
        <f ca="1">IFERROR(__xludf.DUMMYFUNCTION("AI(""Fill an appropriate value for this cell based on the table context"")"),"slur, slander, defamation")</f>
        <v>slur, slander, defamation</v>
      </c>
      <c r="D586" s="5" t="str">
        <f ca="1">IFERROR(__xludf.DUMMYFUNCTION("AI(""Fill an appropriate value for this cell based on the table context"")"),"The politician was accused of casting aspersions on his opponent's character during the debate.")</f>
        <v>The politician was accused of casting aspersions on his opponent's character during the debate.</v>
      </c>
      <c r="E586" s="5"/>
      <c r="F586" s="5"/>
      <c r="G586" s="5"/>
      <c r="H586" s="5"/>
      <c r="I586" s="5"/>
      <c r="J586" s="5"/>
      <c r="K586" s="5"/>
      <c r="L586" s="5"/>
      <c r="M586" s="5"/>
      <c r="N586" s="5"/>
      <c r="O586" s="5"/>
      <c r="P586" s="5"/>
      <c r="Q586" s="5"/>
      <c r="R586" s="5"/>
      <c r="S586" s="5"/>
      <c r="T586" s="5"/>
      <c r="U586" s="5"/>
      <c r="V586" s="5"/>
      <c r="W586" s="5"/>
      <c r="X586" s="5"/>
      <c r="Y586" s="5"/>
      <c r="Z586" s="5"/>
    </row>
    <row r="587" spans="1:26" ht="12.5" x14ac:dyDescent="0.25">
      <c r="A587" s="5" t="s">
        <v>1049</v>
      </c>
      <c r="B587" s="5" t="str">
        <f ca="1">IFERROR(__xludf.DUMMYFUNCTION("AI(""Fill an appropriate value for this cell based on the table context"")"),"clever but misleading or false reasoning used to deceive")</f>
        <v>clever but misleading or false reasoning used to deceive</v>
      </c>
      <c r="C587" s="5" t="str">
        <f ca="1">IFERROR(__xludf.DUMMYFUNCTION("AI(""Fill an appropriate value for this cell based on the table context"")"),"casuistry, fallacy, equivocation")</f>
        <v>casuistry, fallacy, equivocation</v>
      </c>
      <c r="D587" s="5" t="str">
        <f ca="1">IFERROR(__xludf.DUMMYFUNCTION("AI(""Fill an appropriate value for this cell based on the table context"")"),"His argument was a piece of clever sophistry designed to deceive the audience.")</f>
        <v>His argument was a piece of clever sophistry designed to deceive the audience.</v>
      </c>
      <c r="E587" s="5"/>
      <c r="F587" s="5"/>
      <c r="G587" s="5"/>
      <c r="H587" s="5"/>
      <c r="I587" s="5"/>
      <c r="J587" s="5"/>
      <c r="K587" s="5"/>
      <c r="L587" s="5"/>
      <c r="M587" s="5"/>
      <c r="N587" s="5"/>
      <c r="O587" s="5"/>
      <c r="P587" s="5"/>
      <c r="Q587" s="5"/>
      <c r="R587" s="5"/>
      <c r="S587" s="5"/>
      <c r="T587" s="5"/>
      <c r="U587" s="5"/>
      <c r="V587" s="5"/>
      <c r="W587" s="5"/>
      <c r="X587" s="5"/>
      <c r="Y587" s="5"/>
      <c r="Z587" s="5"/>
    </row>
    <row r="588" spans="1:26" ht="12.5" x14ac:dyDescent="0.25">
      <c r="A588" s="5" t="s">
        <v>1050</v>
      </c>
      <c r="B588" s="5" t="str">
        <f ca="1">IFERROR(__xludf.DUMMYFUNCTION("AI(""Fill an appropriate value for this cell based on the table context"")"),"specious or overly subtle reasoning, especially in moral matters")</f>
        <v>specious or overly subtle reasoning, especially in moral matters</v>
      </c>
      <c r="C588" s="5" t="str">
        <f ca="1">IFERROR(__xludf.DUMMYFUNCTION("AI(""Fill an appropriate value for this cell based on the table context"")"),"sophistry, chicanery, speciousness")</f>
        <v>sophistry, chicanery, speciousness</v>
      </c>
      <c r="D588" s="5" t="str">
        <f ca="1">IFERROR(__xludf.DUMMYFUNCTION("AI(""Fill an appropriate value for this cell based on the table context"")"),"The lawyer used subtle casuistry to justify his client's questionable behavior.")</f>
        <v>The lawyer used subtle casuistry to justify his client's questionable behavior.</v>
      </c>
      <c r="E588" s="5"/>
      <c r="F588" s="5"/>
      <c r="G588" s="5"/>
      <c r="H588" s="5"/>
      <c r="I588" s="5"/>
      <c r="J588" s="5"/>
      <c r="K588" s="5"/>
      <c r="L588" s="5"/>
      <c r="M588" s="5"/>
      <c r="N588" s="5"/>
      <c r="O588" s="5"/>
      <c r="P588" s="5"/>
      <c r="Q588" s="5"/>
      <c r="R588" s="5"/>
      <c r="S588" s="5"/>
      <c r="T588" s="5"/>
      <c r="U588" s="5"/>
      <c r="V588" s="5"/>
      <c r="W588" s="5"/>
      <c r="X588" s="5"/>
      <c r="Y588" s="5"/>
      <c r="Z588" s="5"/>
    </row>
    <row r="589" spans="1:26" ht="12.5" x14ac:dyDescent="0.25">
      <c r="A589" s="5" t="s">
        <v>1051</v>
      </c>
      <c r="B589" s="5" t="str">
        <f ca="1">IFERROR(__xludf.DUMMYFUNCTION("AI(""Fill an appropriate value for this cell based on the table context"")"),"an unintentionally invalid or fallacious argument")</f>
        <v>an unintentionally invalid or fallacious argument</v>
      </c>
      <c r="C589" s="5" t="str">
        <f ca="1">IFERROR(__xludf.DUMMYFUNCTION("AI(""Fill an appropriate value for this cell based on the table context"")"),"fallacy, paralogy, sophistry")</f>
        <v>fallacy, paralogy, sophistry</v>
      </c>
      <c r="D589" s="5" t="str">
        <f ca="1">IFERROR(__xludf.DUMMYFUNCTION("AI(""Fill an appropriate value for this cell based on the table context"")"),"The fallacious claim was based on a simple paralogism rather than sound logic.")</f>
        <v>The fallacious claim was based on a simple paralogism rather than sound logic.</v>
      </c>
      <c r="E589" s="5"/>
      <c r="F589" s="5"/>
      <c r="G589" s="5"/>
      <c r="H589" s="5"/>
      <c r="I589" s="5"/>
      <c r="J589" s="5"/>
      <c r="K589" s="5"/>
      <c r="L589" s="5"/>
      <c r="M589" s="5"/>
      <c r="N589" s="5"/>
      <c r="O589" s="5"/>
      <c r="P589" s="5"/>
      <c r="Q589" s="5"/>
      <c r="R589" s="5"/>
      <c r="S589" s="5"/>
      <c r="T589" s="5"/>
      <c r="U589" s="5"/>
      <c r="V589" s="5"/>
      <c r="W589" s="5"/>
      <c r="X589" s="5"/>
      <c r="Y589" s="5"/>
      <c r="Z589" s="5"/>
    </row>
    <row r="590" spans="1:26" ht="12.5" x14ac:dyDescent="0.25">
      <c r="A590" s="5" t="s">
        <v>1052</v>
      </c>
      <c r="B590" s="5" t="str">
        <f ca="1">IFERROR(__xludf.DUMMYFUNCTION("AI(""Fill an appropriate value for this cell based on the table context"")"),"loud, harsh, and unpleasantly grating")</f>
        <v>loud, harsh, and unpleasantly grating</v>
      </c>
      <c r="C590" s="5" t="str">
        <f ca="1">IFERROR(__xludf.DUMMYFUNCTION("AI(""Fill an appropriate value for this cell based on the table context"")"),"harsh, shrill, grating")</f>
        <v>harsh, shrill, grating</v>
      </c>
      <c r="D590" s="5" t="str">
        <f ca="1">IFERROR(__xludf.DUMMYFUNCTION("AI(""Fill an appropriate value for this cell based on the table context"")"),"Her strident voice echoed through the hallway during the argument.")</f>
        <v>Her strident voice echoed through the hallway during the argument.</v>
      </c>
      <c r="E590" s="5"/>
      <c r="F590" s="5"/>
      <c r="G590" s="5"/>
      <c r="H590" s="5"/>
      <c r="I590" s="5"/>
      <c r="J590" s="5"/>
      <c r="K590" s="5"/>
      <c r="L590" s="5"/>
      <c r="M590" s="5"/>
      <c r="N590" s="5"/>
      <c r="O590" s="5"/>
      <c r="P590" s="5"/>
      <c r="Q590" s="5"/>
      <c r="R590" s="5"/>
      <c r="S590" s="5"/>
      <c r="T590" s="5"/>
      <c r="U590" s="5"/>
      <c r="V590" s="5"/>
      <c r="W590" s="5"/>
      <c r="X590" s="5"/>
      <c r="Y590" s="5"/>
      <c r="Z590" s="5"/>
    </row>
    <row r="591" spans="1:26" ht="12.5" x14ac:dyDescent="0.25">
      <c r="A591" s="5" t="s">
        <v>1053</v>
      </c>
      <c r="B591" s="5" t="str">
        <f ca="1">IFERROR(__xludf.DUMMYFUNCTION("AI(""Fill an appropriate value for this cell based on the table context"")"),"to quibble or argue over trivial details")</f>
        <v>to quibble or argue over trivial details</v>
      </c>
      <c r="C591" s="5" t="str">
        <f ca="1">IFERROR(__xludf.DUMMYFUNCTION("AI(""Fill an appropriate value for this cell based on the table context"")"),"quibble, nitpick, cavil")</f>
        <v>quibble, nitpick, cavil</v>
      </c>
      <c r="D591" s="5" t="str">
        <f ca="1">IFERROR(__xludf.DUMMYFUNCTION("AI(""Fill an appropriate value for this cell based on the table context"")"),"Instead of addressing the main issue, the attorney chose to pettifog over minor details.")</f>
        <v>Instead of addressing the main issue, the attorney chose to pettifog over minor details.</v>
      </c>
      <c r="E591" s="5"/>
      <c r="F591" s="5"/>
      <c r="G591" s="5"/>
      <c r="H591" s="5"/>
      <c r="I591" s="5"/>
      <c r="J591" s="5"/>
      <c r="K591" s="5"/>
      <c r="L591" s="5"/>
      <c r="M591" s="5"/>
      <c r="N591" s="5"/>
      <c r="O591" s="5"/>
      <c r="P591" s="5"/>
      <c r="Q591" s="5"/>
      <c r="R591" s="5"/>
      <c r="S591" s="5"/>
      <c r="T591" s="5"/>
      <c r="U591" s="5"/>
      <c r="V591" s="5"/>
      <c r="W591" s="5"/>
      <c r="X591" s="5"/>
      <c r="Y591" s="5"/>
      <c r="Z591" s="5"/>
    </row>
    <row r="592" spans="1:26" ht="12.5" x14ac:dyDescent="0.25">
      <c r="A592" s="5" t="s">
        <v>1054</v>
      </c>
      <c r="B592" s="5" t="str">
        <f ca="1">IFERROR(__xludf.DUMMYFUNCTION("AI(""Fill an appropriate value for this cell based on the table context"")"),"to revoke, cancel, or repeal a law, decision, or agreement")</f>
        <v>to revoke, cancel, or repeal a law, decision, or agreement</v>
      </c>
      <c r="C592" s="5" t="str">
        <f ca="1">IFERROR(__xludf.DUMMYFUNCTION("AI(""Fill an appropriate value for this cell based on the table context"")"),"revoke, cancel, repeal")</f>
        <v>revoke, cancel, repeal</v>
      </c>
      <c r="D592" s="5" t="str">
        <f ca="1">IFERROR(__xludf.DUMMYFUNCTION("AI(""Fill an appropriate value for this cell based on the table context"")"),"The committee decided to rescind the controversial decision after public outcry.")</f>
        <v>The committee decided to rescind the controversial decision after public outcry.</v>
      </c>
      <c r="E592" s="5"/>
      <c r="F592" s="5"/>
      <c r="G592" s="5"/>
      <c r="H592" s="5"/>
      <c r="I592" s="5"/>
      <c r="J592" s="5"/>
      <c r="K592" s="5"/>
      <c r="L592" s="5"/>
      <c r="M592" s="5"/>
      <c r="N592" s="5"/>
      <c r="O592" s="5"/>
      <c r="P592" s="5"/>
      <c r="Q592" s="5"/>
      <c r="R592" s="5"/>
      <c r="S592" s="5"/>
      <c r="T592" s="5"/>
      <c r="U592" s="5"/>
      <c r="V592" s="5"/>
      <c r="W592" s="5"/>
      <c r="X592" s="5"/>
      <c r="Y592" s="5"/>
      <c r="Z592" s="5"/>
    </row>
    <row r="593" spans="1:26" ht="12.5" x14ac:dyDescent="0.25">
      <c r="A593" s="5" t="s">
        <v>1055</v>
      </c>
      <c r="B593" s="5" t="str">
        <f ca="1">IFERROR(__xludf.DUMMYFUNCTION("AI(""Fill an appropriate value for this cell based on the table context"")"),"just beginning and not fully formed or developed")</f>
        <v>just beginning and not fully formed or developed</v>
      </c>
      <c r="C593" s="5" t="str">
        <f ca="1">IFERROR(__xludf.DUMMYFUNCTION("AI(""Fill an appropriate value for this cell based on the table context"")"),"nascent, incipient, rudimentary")</f>
        <v>nascent, incipient, rudimentary</v>
      </c>
      <c r="D593" s="5" t="str">
        <f ca="1">IFERROR(__xludf.DUMMYFUNCTION("AI(""Fill an appropriate value for this cell based on the table context"")"),"She had an inchoate idea for a novel, but had not yet written an outline.")</f>
        <v>She had an inchoate idea for a novel, but had not yet written an outline.</v>
      </c>
      <c r="E593" s="5"/>
      <c r="F593" s="5"/>
      <c r="G593" s="5"/>
      <c r="H593" s="5"/>
      <c r="I593" s="5"/>
      <c r="J593" s="5"/>
      <c r="K593" s="5"/>
      <c r="L593" s="5"/>
      <c r="M593" s="5"/>
      <c r="N593" s="5"/>
      <c r="O593" s="5"/>
      <c r="P593" s="5"/>
      <c r="Q593" s="5"/>
      <c r="R593" s="5"/>
      <c r="S593" s="5"/>
      <c r="T593" s="5"/>
      <c r="U593" s="5"/>
      <c r="V593" s="5"/>
      <c r="W593" s="5"/>
      <c r="X593" s="5"/>
      <c r="Y593" s="5"/>
      <c r="Z593" s="5"/>
    </row>
    <row r="594" spans="1:26" ht="12.5" x14ac:dyDescent="0.25">
      <c r="A594" s="5" t="s">
        <v>1056</v>
      </c>
      <c r="B594" s="5" t="str">
        <f ca="1">IFERROR(__xludf.DUMMYFUNCTION("AI(""Fill an appropriate value for this cell based on the table context"")"),"newly coming into existence or starting to develop")</f>
        <v>newly coming into existence or starting to develop</v>
      </c>
      <c r="C594" s="5" t="str">
        <f ca="1">IFERROR(__xludf.DUMMYFUNCTION("AI(""Fill an appropriate value for this cell based on the table context"")"),"initial, budding, developing")</f>
        <v>initial, budding, developing</v>
      </c>
      <c r="D594" s="5" t="str">
        <f ca="1">IFERROR(__xludf.DUMMYFUNCTION("AI(""Fill an appropriate value for this cell based on the table context"")"),"The nascent tech startup showed great potential in its first few months.")</f>
        <v>The nascent tech startup showed great potential in its first few months.</v>
      </c>
      <c r="E594" s="5"/>
      <c r="F594" s="5"/>
      <c r="G594" s="5"/>
      <c r="H594" s="5"/>
      <c r="I594" s="5"/>
      <c r="J594" s="5"/>
      <c r="K594" s="5"/>
      <c r="L594" s="5"/>
      <c r="M594" s="5"/>
      <c r="N594" s="5"/>
      <c r="O594" s="5"/>
      <c r="P594" s="5"/>
      <c r="Q594" s="5"/>
      <c r="R594" s="5"/>
      <c r="S594" s="5"/>
      <c r="T594" s="5"/>
      <c r="U594" s="5"/>
      <c r="V594" s="5"/>
      <c r="W594" s="5"/>
      <c r="X594" s="5"/>
      <c r="Y594" s="5"/>
      <c r="Z594" s="5"/>
    </row>
    <row r="595" spans="1:26" ht="12.5" x14ac:dyDescent="0.25">
      <c r="A595" s="5" t="s">
        <v>1057</v>
      </c>
      <c r="B595" s="5" t="str">
        <f ca="1">IFERROR(__xludf.DUMMYFUNCTION("AI(""Fill an appropriate value for this cell based on the table context"")"),"in an initial stage or beginning to appear")</f>
        <v>in an initial stage or beginning to appear</v>
      </c>
      <c r="C595" s="5" t="str">
        <f ca="1">IFERROR(__xludf.DUMMYFUNCTION("AI(""Fill an appropriate value for this cell based on the table context"")"),"beginning, nascent, developing")</f>
        <v>beginning, nascent, developing</v>
      </c>
      <c r="D595" s="5" t="str">
        <f ca="1">IFERROR(__xludf.DUMMYFUNCTION("AI(""Fill an appropriate value for this cell based on the table context"")"),"Signs of incipient trouble began to emerge during the project's early phases.")</f>
        <v>Signs of incipient trouble began to emerge during the project's early phases.</v>
      </c>
      <c r="E595" s="5"/>
      <c r="F595" s="5"/>
      <c r="G595" s="5"/>
      <c r="H595" s="5"/>
      <c r="I595" s="5"/>
      <c r="J595" s="5"/>
      <c r="K595" s="5"/>
      <c r="L595" s="5"/>
      <c r="M595" s="5"/>
      <c r="N595" s="5"/>
      <c r="O595" s="5"/>
      <c r="P595" s="5"/>
      <c r="Q595" s="5"/>
      <c r="R595" s="5"/>
      <c r="S595" s="5"/>
      <c r="T595" s="5"/>
      <c r="U595" s="5"/>
      <c r="V595" s="5"/>
      <c r="W595" s="5"/>
      <c r="X595" s="5"/>
      <c r="Y595" s="5"/>
      <c r="Z595" s="5"/>
    </row>
    <row r="596" spans="1:26" ht="12.5" x14ac:dyDescent="0.25">
      <c r="A596" s="5" t="s">
        <v>1058</v>
      </c>
      <c r="B596" s="5" t="str">
        <f ca="1">IFERROR(__xludf.DUMMYFUNCTION("AI(""Fill an appropriate value for this cell based on the table context"")"),"lacking social grace; tactless or awkward")</f>
        <v>lacking social grace; tactless or awkward</v>
      </c>
      <c r="C596" s="5" t="str">
        <f ca="1">IFERROR(__xludf.DUMMYFUNCTION("AI(""Fill an appropriate value for this cell based on the table context"")"),"awkward, clumsy, inelegant")</f>
        <v>awkward, clumsy, inelegant</v>
      </c>
      <c r="D596" s="5" t="str">
        <f ca="1">IFERROR(__xludf.DUMMYFUNCTION("AI(""Fill an appropriate value for this cell based on the table context"")"),"It was considered gauche to bring up money matters at the formal dinner party.")</f>
        <v>It was considered gauche to bring up money matters at the formal dinner party.</v>
      </c>
      <c r="E596" s="5"/>
      <c r="F596" s="5"/>
      <c r="G596" s="5"/>
      <c r="H596" s="5"/>
      <c r="I596" s="5"/>
      <c r="J596" s="5"/>
      <c r="K596" s="5"/>
      <c r="L596" s="5"/>
      <c r="M596" s="5"/>
      <c r="N596" s="5"/>
      <c r="O596" s="5"/>
      <c r="P596" s="5"/>
      <c r="Q596" s="5"/>
      <c r="R596" s="5"/>
      <c r="S596" s="5"/>
      <c r="T596" s="5"/>
      <c r="U596" s="5"/>
      <c r="V596" s="5"/>
      <c r="W596" s="5"/>
      <c r="X596" s="5"/>
      <c r="Y596" s="5"/>
      <c r="Z596" s="5"/>
    </row>
    <row r="597" spans="1:26" ht="12.5" x14ac:dyDescent="0.25">
      <c r="A597" s="5" t="s">
        <v>1059</v>
      </c>
      <c r="B597" s="5" t="str">
        <f ca="1">IFERROR(__xludf.DUMMYFUNCTION("AI(""Fill an appropriate value for this cell based on the table context"")"),"clumsy and ungainly in movement or posture")</f>
        <v>clumsy and ungainly in movement or posture</v>
      </c>
      <c r="C597" s="5" t="str">
        <f ca="1">IFERROR(__xludf.DUMMYFUNCTION("AI(""Fill an appropriate value for this cell based on the table context"")"),"ungainly, awkward, clumsy")</f>
        <v>ungainly, awkward, clumsy</v>
      </c>
      <c r="D597" s="5" t="str">
        <f ca="1">IFERROR(__xludf.DUMMYFUNCTION("AI(""Fill an appropriate value for this cell based on the table context"")"),"The gawky teenager felt awkward and clumsy on the dance floor.")</f>
        <v>The gawky teenager felt awkward and clumsy on the dance floor.</v>
      </c>
      <c r="E597" s="5"/>
      <c r="F597" s="5"/>
      <c r="G597" s="5"/>
      <c r="H597" s="5"/>
      <c r="I597" s="5"/>
      <c r="J597" s="5"/>
      <c r="K597" s="5"/>
      <c r="L597" s="5"/>
      <c r="M597" s="5"/>
      <c r="N597" s="5"/>
      <c r="O597" s="5"/>
      <c r="P597" s="5"/>
      <c r="Q597" s="5"/>
      <c r="R597" s="5"/>
      <c r="S597" s="5"/>
      <c r="T597" s="5"/>
      <c r="U597" s="5"/>
      <c r="V597" s="5"/>
      <c r="W597" s="5"/>
      <c r="X597" s="5"/>
      <c r="Y597" s="5"/>
      <c r="Z597" s="5"/>
    </row>
    <row r="598" spans="1:26" ht="12.5" x14ac:dyDescent="0.25">
      <c r="A598" s="5" t="s">
        <v>1060</v>
      </c>
      <c r="B598" s="5" t="str">
        <f ca="1">IFERROR(__xludf.DUMMYFUNCTION("AI(""Fill an appropriate value for this cell based on the table context"")"),"native or restricted to a particular region or people")</f>
        <v>native or restricted to a particular region or people</v>
      </c>
      <c r="C598" s="5" t="str">
        <f ca="1">IFERROR(__xludf.DUMMYFUNCTION("AI(""Fill an appropriate value for this cell based on the table context"")"),"native, indigenous, local")</f>
        <v>native, indigenous, local</v>
      </c>
      <c r="D598" s="5" t="str">
        <f ca="1">IFERROR(__xludf.DUMMYFUNCTION("AI(""Fill an appropriate value for this cell based on the table context"")"),"Malaria remains endemic in many tropical regions around the world.")</f>
        <v>Malaria remains endemic in many tropical regions around the world.</v>
      </c>
      <c r="E598" s="5"/>
      <c r="F598" s="5"/>
      <c r="G598" s="5"/>
      <c r="H598" s="5"/>
      <c r="I598" s="5"/>
      <c r="J598" s="5"/>
      <c r="K598" s="5"/>
      <c r="L598" s="5"/>
      <c r="M598" s="5"/>
      <c r="N598" s="5"/>
      <c r="O598" s="5"/>
      <c r="P598" s="5"/>
      <c r="Q598" s="5"/>
      <c r="R598" s="5"/>
      <c r="S598" s="5"/>
      <c r="T598" s="5"/>
      <c r="U598" s="5"/>
      <c r="V598" s="5"/>
      <c r="W598" s="5"/>
      <c r="X598" s="5"/>
      <c r="Y598" s="5"/>
      <c r="Z598" s="5"/>
    </row>
    <row r="599" spans="1:26" ht="12.5" x14ac:dyDescent="0.25">
      <c r="A599" s="5" t="s">
        <v>1061</v>
      </c>
      <c r="B599" s="5" t="str">
        <f ca="1">IFERROR(__xludf.DUMMYFUNCTION("AI(""Fill an appropriate value for this cell based on the table context"")"),"expand or swell from internal pressure")</f>
        <v>expand or swell from internal pressure</v>
      </c>
      <c r="C599" s="5" t="str">
        <f ca="1">IFERROR(__xludf.DUMMYFUNCTION("AI(""Fill an appropriate value for this cell based on the table context"")"),"swell, expand, dilate")</f>
        <v>swell, expand, dilate</v>
      </c>
      <c r="D599" s="5" t="str">
        <f ca="1">IFERROR(__xludf.DUMMYFUNCTION("AI(""Fill an appropriate value for this cell based on the table context"")"),"Excess gas can cause the stomach to distend and feel very uncomfortable.")</f>
        <v>Excess gas can cause the stomach to distend and feel very uncomfortable.</v>
      </c>
      <c r="E599" s="5"/>
      <c r="F599" s="5"/>
      <c r="G599" s="5"/>
      <c r="H599" s="5"/>
      <c r="I599" s="5"/>
      <c r="J599" s="5"/>
      <c r="K599" s="5"/>
      <c r="L599" s="5"/>
      <c r="M599" s="5"/>
      <c r="N599" s="5"/>
      <c r="O599" s="5"/>
      <c r="P599" s="5"/>
      <c r="Q599" s="5"/>
      <c r="R599" s="5"/>
      <c r="S599" s="5"/>
      <c r="T599" s="5"/>
      <c r="U599" s="5"/>
      <c r="V599" s="5"/>
      <c r="W599" s="5"/>
      <c r="X599" s="5"/>
      <c r="Y599" s="5"/>
      <c r="Z599" s="5"/>
    </row>
    <row r="600" spans="1:26" ht="12.5" x14ac:dyDescent="0.25">
      <c r="A600" s="5" t="s">
        <v>1062</v>
      </c>
      <c r="B600" s="5" t="str">
        <f ca="1">IFERROR(__xludf.DUMMYFUNCTION("AI(""Fill an appropriate value for this cell based on the table context"")"),"arrogant pride and haughtiness of manner")</f>
        <v>arrogant pride and haughtiness of manner</v>
      </c>
      <c r="C600" s="5" t="str">
        <f ca="1">IFERROR(__xludf.DUMMYFUNCTION("AI(""Fill an appropriate value for this cell based on the table context"")"),"arrogance, haughtiness, pride")</f>
        <v>arrogance, haughtiness, pride</v>
      </c>
      <c r="D600" s="5" t="str">
        <f ca="1">IFERROR(__xludf.DUMMYFUNCTION("AI(""Fill an appropriate value for this cell based on the table context"")"),"Her natural hauteur alienated many of her colleagues at the office.")</f>
        <v>Her natural hauteur alienated many of her colleagues at the office.</v>
      </c>
      <c r="E600" s="5"/>
      <c r="F600" s="5"/>
      <c r="G600" s="5"/>
      <c r="H600" s="5"/>
      <c r="I600" s="5"/>
      <c r="J600" s="5"/>
      <c r="K600" s="5"/>
      <c r="L600" s="5"/>
      <c r="M600" s="5"/>
      <c r="N600" s="5"/>
      <c r="O600" s="5"/>
      <c r="P600" s="5"/>
      <c r="Q600" s="5"/>
      <c r="R600" s="5"/>
      <c r="S600" s="5"/>
      <c r="T600" s="5"/>
      <c r="U600" s="5"/>
      <c r="V600" s="5"/>
      <c r="W600" s="5"/>
      <c r="X600" s="5"/>
      <c r="Y600" s="5"/>
      <c r="Z600" s="5"/>
    </row>
    <row r="601" spans="1:26" ht="12.5" x14ac:dyDescent="0.25">
      <c r="A601" s="5" t="s">
        <v>1063</v>
      </c>
      <c r="B601" s="5" t="str">
        <f ca="1">IFERROR(__xludf.DUMMYFUNCTION("AI(""Fill an appropriate value for this cell based on the table context"")"),"make shiny or smooth by rubbing; polish")</f>
        <v>make shiny or smooth by rubbing; polish</v>
      </c>
      <c r="C601" s="5" t="str">
        <f ca="1">IFERROR(__xludf.DUMMYFUNCTION("AI(""Fill an appropriate value for this cell based on the table context"")"),"polish, shine, buff")</f>
        <v>polish, shine, buff</v>
      </c>
      <c r="D601" s="5" t="str">
        <f ca="1">IFERROR(__xludf.DUMMYFUNCTION("AI(""Fill an appropriate value for this cell based on the table context"")"),"He worked hard to burnish his reputation before running for public office.")</f>
        <v>He worked hard to burnish his reputation before running for public office.</v>
      </c>
      <c r="E601" s="5"/>
      <c r="F601" s="5"/>
      <c r="G601" s="5"/>
      <c r="H601" s="5"/>
      <c r="I601" s="5"/>
      <c r="J601" s="5"/>
      <c r="K601" s="5"/>
      <c r="L601" s="5"/>
      <c r="M601" s="5"/>
      <c r="N601" s="5"/>
      <c r="O601" s="5"/>
      <c r="P601" s="5"/>
      <c r="Q601" s="5"/>
      <c r="R601" s="5"/>
      <c r="S601" s="5"/>
      <c r="T601" s="5"/>
      <c r="U601" s="5"/>
      <c r="V601" s="5"/>
      <c r="W601" s="5"/>
      <c r="X601" s="5"/>
      <c r="Y601" s="5"/>
      <c r="Z601" s="5"/>
    </row>
    <row r="602" spans="1:26" ht="12.5" x14ac:dyDescent="0.25">
      <c r="A602" s="5" t="s">
        <v>1064</v>
      </c>
      <c r="B602" s="5" t="str">
        <f ca="1">IFERROR(__xludf.DUMMYFUNCTION("AI(""Fill an appropriate value for this cell based on the table context"")"),"inspiring reverence or admiration; majestic and grand")</f>
        <v>inspiring reverence or admiration; majestic and grand</v>
      </c>
      <c r="C602" s="5" t="str">
        <f ca="1">IFERROR(__xludf.DUMMYFUNCTION("AI(""Fill an appropriate value for this cell based on the table context"")"),"majestic, dignified, noble")</f>
        <v>majestic, dignified, noble</v>
      </c>
      <c r="D602" s="5" t="str">
        <f ca="1">IFERROR(__xludf.DUMMYFUNCTION("AI(""Fill an appropriate value for this cell based on the table context"")"),"The hall was prepared for the presence of the august gathering of scholars.")</f>
        <v>The hall was prepared for the presence of the august gathering of scholars.</v>
      </c>
      <c r="E602" s="5"/>
      <c r="F602" s="5"/>
      <c r="G602" s="5"/>
      <c r="H602" s="5"/>
      <c r="I602" s="5"/>
      <c r="J602" s="5"/>
      <c r="K602" s="5"/>
      <c r="L602" s="5"/>
      <c r="M602" s="5"/>
      <c r="N602" s="5"/>
      <c r="O602" s="5"/>
      <c r="P602" s="5"/>
      <c r="Q602" s="5"/>
      <c r="R602" s="5"/>
      <c r="S602" s="5"/>
      <c r="T602" s="5"/>
      <c r="U602" s="5"/>
      <c r="V602" s="5"/>
      <c r="W602" s="5"/>
      <c r="X602" s="5"/>
      <c r="Y602" s="5"/>
      <c r="Z602" s="5"/>
    </row>
    <row r="603" spans="1:26" ht="12.5" x14ac:dyDescent="0.25">
      <c r="A603" s="5" t="s">
        <v>1065</v>
      </c>
      <c r="B603" s="5" t="str">
        <f ca="1">IFERROR(__xludf.DUMMYFUNCTION("AI(""Fill an appropriate value for this cell based on the table context"")"),"relating to or involving ideas or concepts")</f>
        <v>relating to or involving ideas or concepts</v>
      </c>
      <c r="C603" s="5" t="str">
        <f ca="1">IFERROR(__xludf.DUMMYFUNCTION("AI(""Fill an appropriate value for this cell based on the table context"")"),"conceptual, abstract, theoretical")</f>
        <v>conceptual, abstract, theoretical</v>
      </c>
      <c r="D603" s="5" t="str">
        <f ca="1">IFERROR(__xludf.DUMMYFUNCTION("AI(""Fill an appropriate value for this cell based on the table context"")"),"The research focused on the ideational processes behind creative problem solving.")</f>
        <v>The research focused on the ideational processes behind creative problem solving.</v>
      </c>
      <c r="E603" s="5"/>
      <c r="F603" s="5"/>
      <c r="G603" s="5"/>
      <c r="H603" s="5"/>
      <c r="I603" s="5"/>
      <c r="J603" s="5"/>
      <c r="K603" s="5"/>
      <c r="L603" s="5"/>
      <c r="M603" s="5"/>
      <c r="N603" s="5"/>
      <c r="O603" s="5"/>
      <c r="P603" s="5"/>
      <c r="Q603" s="5"/>
      <c r="R603" s="5"/>
      <c r="S603" s="5"/>
      <c r="T603" s="5"/>
      <c r="U603" s="5"/>
      <c r="V603" s="5"/>
      <c r="W603" s="5"/>
      <c r="X603" s="5"/>
      <c r="Y603" s="5"/>
      <c r="Z603" s="5"/>
    </row>
    <row r="604" spans="1:26" ht="12.5" x14ac:dyDescent="0.25">
      <c r="A604" s="5" t="s">
        <v>1066</v>
      </c>
      <c r="B604" s="5" t="str">
        <f ca="1">IFERROR(__xludf.DUMMYFUNCTION("AI(""Fill an appropriate value for this cell based on the table context"")"),"a state of temporary suspension or inactivity")</f>
        <v>a state of temporary suspension or inactivity</v>
      </c>
      <c r="C604" s="5" t="str">
        <f ca="1">IFERROR(__xludf.DUMMYFUNCTION("AI(""Fill an appropriate value for this cell based on the table context"")"),"suspension, dormancy, latency")</f>
        <v>suspension, dormancy, latency</v>
      </c>
      <c r="D604" s="5" t="str">
        <f ca="1">IFERROR(__xludf.DUMMYFUNCTION("AI(""Fill an appropriate value for this cell based on the table context"")"),"The project was held in abeyance pending further funding approval.")</f>
        <v>The project was held in abeyance pending further funding approval.</v>
      </c>
      <c r="E604" s="5"/>
      <c r="F604" s="5"/>
      <c r="G604" s="5"/>
      <c r="H604" s="5"/>
      <c r="I604" s="5"/>
      <c r="J604" s="5"/>
      <c r="K604" s="5"/>
      <c r="L604" s="5"/>
      <c r="M604" s="5"/>
      <c r="N604" s="5"/>
      <c r="O604" s="5"/>
      <c r="P604" s="5"/>
      <c r="Q604" s="5"/>
      <c r="R604" s="5"/>
      <c r="S604" s="5"/>
      <c r="T604" s="5"/>
      <c r="U604" s="5"/>
      <c r="V604" s="5"/>
      <c r="W604" s="5"/>
      <c r="X604" s="5"/>
      <c r="Y604" s="5"/>
      <c r="Z604" s="5"/>
    </row>
    <row r="605" spans="1:26" ht="12.5" x14ac:dyDescent="0.25">
      <c r="A605" s="5" t="s">
        <v>1067</v>
      </c>
      <c r="B605" s="5" t="str">
        <f ca="1">IFERROR(__xludf.DUMMYFUNCTION("AI(""Fill an appropriate value for this cell based on the table context"")"),"a temporary prohibition or delay of an activity")</f>
        <v>a temporary prohibition or delay of an activity</v>
      </c>
      <c r="C605" s="5" t="str">
        <f ca="1">IFERROR(__xludf.DUMMYFUNCTION("AI(""Fill an appropriate value for this cell based on the table context"")"),"suspension, postponement, halt")</f>
        <v>suspension, postponement, halt</v>
      </c>
      <c r="D605" s="5" t="str">
        <f ca="1">IFERROR(__xludf.DUMMYFUNCTION("AI(""Fill an appropriate value for this cell based on the table context"")"),"The government placed a temporary moratorium on deep-sea drilling.")</f>
        <v>The government placed a temporary moratorium on deep-sea drilling.</v>
      </c>
      <c r="E605" s="5"/>
      <c r="F605" s="5"/>
      <c r="G605" s="5"/>
      <c r="H605" s="5"/>
      <c r="I605" s="5"/>
      <c r="J605" s="5"/>
      <c r="K605" s="5"/>
      <c r="L605" s="5"/>
      <c r="M605" s="5"/>
      <c r="N605" s="5"/>
      <c r="O605" s="5"/>
      <c r="P605" s="5"/>
      <c r="Q605" s="5"/>
      <c r="R605" s="5"/>
      <c r="S605" s="5"/>
      <c r="T605" s="5"/>
      <c r="U605" s="5"/>
      <c r="V605" s="5"/>
      <c r="W605" s="5"/>
      <c r="X605" s="5"/>
      <c r="Y605" s="5"/>
      <c r="Z605" s="5"/>
    </row>
    <row r="606" spans="1:26" ht="12.5" x14ac:dyDescent="0.25">
      <c r="A606" s="5" t="s">
        <v>1068</v>
      </c>
      <c r="B606" s="5" t="str">
        <f ca="1">IFERROR(__xludf.DUMMYFUNCTION("AI(""Fill an appropriate value for this cell based on the table context"")"),"a temporary or permanent reduction in severity or symptoms")</f>
        <v>a temporary or permanent reduction in severity or symptoms</v>
      </c>
      <c r="C606" s="5" t="str">
        <f ca="1">IFERROR(__xludf.DUMMYFUNCTION("AI(""Fill an appropriate value for this cell based on the table context"")"),"abatement, respite, forgiveness")</f>
        <v>abatement, respite, forgiveness</v>
      </c>
      <c r="D606" s="5" t="str">
        <f ca="1">IFERROR(__xludf.DUMMYFUNCTION("AI(""Fill an appropriate value for this cell based on the table context"")"),"The patient was relieved to hear that her illness was officially in remission.")</f>
        <v>The patient was relieved to hear that her illness was officially in remission.</v>
      </c>
      <c r="E606" s="5"/>
      <c r="F606" s="5"/>
      <c r="G606" s="5"/>
      <c r="H606" s="5"/>
      <c r="I606" s="5"/>
      <c r="J606" s="5"/>
      <c r="K606" s="5"/>
      <c r="L606" s="5"/>
      <c r="M606" s="5"/>
      <c r="N606" s="5"/>
      <c r="O606" s="5"/>
      <c r="P606" s="5"/>
      <c r="Q606" s="5"/>
      <c r="R606" s="5"/>
      <c r="S606" s="5"/>
      <c r="T606" s="5"/>
      <c r="U606" s="5"/>
      <c r="V606" s="5"/>
      <c r="W606" s="5"/>
      <c r="X606" s="5"/>
      <c r="Y606" s="5"/>
      <c r="Z606" s="5"/>
    </row>
    <row r="607" spans="1:26" ht="12.5" x14ac:dyDescent="0.25">
      <c r="A607" s="5" t="s">
        <v>1069</v>
      </c>
      <c r="B607" s="5" t="str">
        <f ca="1">IFERROR(__xludf.DUMMYFUNCTION("AI(""Fill an appropriate value for this cell based on the table context"")"),"pure; complete and unmixed")</f>
        <v>pure; complete and unmixed</v>
      </c>
      <c r="C607" s="5" t="str">
        <f ca="1">IFERROR(__xludf.DUMMYFUNCTION("AI(""Fill an appropriate value for this cell based on the table context"")"),"pure, absolute, unmixed")</f>
        <v>pure, absolute, unmixed</v>
      </c>
      <c r="D607" s="5" t="str">
        <f ca="1">IFERROR(__xludf.DUMMYFUNCTION("AI(""Fill an appropriate value for this cell based on the table context"")"),"Her face beamed with unalloyed joy when she opened the surprise gift.")</f>
        <v>Her face beamed with unalloyed joy when she opened the surprise gift.</v>
      </c>
      <c r="E607" s="5"/>
      <c r="F607" s="5"/>
      <c r="G607" s="5"/>
      <c r="H607" s="5"/>
      <c r="I607" s="5"/>
      <c r="J607" s="5"/>
      <c r="K607" s="5"/>
      <c r="L607" s="5"/>
      <c r="M607" s="5"/>
      <c r="N607" s="5"/>
      <c r="O607" s="5"/>
      <c r="P607" s="5"/>
      <c r="Q607" s="5"/>
      <c r="R607" s="5"/>
      <c r="S607" s="5"/>
      <c r="T607" s="5"/>
      <c r="U607" s="5"/>
      <c r="V607" s="5"/>
      <c r="W607" s="5"/>
      <c r="X607" s="5"/>
      <c r="Y607" s="5"/>
      <c r="Z607" s="5"/>
    </row>
    <row r="608" spans="1:26" ht="12.5" x14ac:dyDescent="0.25">
      <c r="A608" s="5" t="s">
        <v>1070</v>
      </c>
      <c r="B608" s="5" t="str">
        <f ca="1">IFERROR(__xludf.DUMMYFUNCTION("AI(""Fill an appropriate value for this cell based on the table context"")"),"relating to or perceived by the sense of touch")</f>
        <v>relating to or perceived by the sense of touch</v>
      </c>
      <c r="C608" s="5" t="str">
        <f ca="1">IFERROR(__xludf.DUMMYFUNCTION("AI(""Fill an appropriate value for this cell based on the table context"")"),"tangible, haptic, touchable")</f>
        <v>tangible, haptic, touchable</v>
      </c>
      <c r="D608" s="5" t="str">
        <f ca="1">IFERROR(__xludf.DUMMYFUNCTION("AI(""Fill an appropriate value for this cell based on the table context"")"),"The museum features interactive displays that offer a rich tactile experience.")</f>
        <v>The museum features interactive displays that offer a rich tactile experience.</v>
      </c>
      <c r="E608" s="5"/>
      <c r="F608" s="5"/>
      <c r="G608" s="5"/>
      <c r="H608" s="5"/>
      <c r="I608" s="5"/>
      <c r="J608" s="5"/>
      <c r="K608" s="5"/>
      <c r="L608" s="5"/>
      <c r="M608" s="5"/>
      <c r="N608" s="5"/>
      <c r="O608" s="5"/>
      <c r="P608" s="5"/>
      <c r="Q608" s="5"/>
      <c r="R608" s="5"/>
      <c r="S608" s="5"/>
      <c r="T608" s="5"/>
      <c r="U608" s="5"/>
      <c r="V608" s="5"/>
      <c r="W608" s="5"/>
      <c r="X608" s="5"/>
      <c r="Y608" s="5"/>
      <c r="Z608" s="5"/>
    </row>
    <row r="609" spans="1:26" ht="12.5" x14ac:dyDescent="0.25">
      <c r="A609" s="5" t="s">
        <v>1071</v>
      </c>
      <c r="B609" s="5" t="str">
        <f ca="1">IFERROR(__xludf.DUMMYFUNCTION("AI(""Fill an appropriate value for this cell based on the table context"")"),"relating to or based on the sense of touch")</f>
        <v>relating to or based on the sense of touch</v>
      </c>
      <c r="C609" s="5" t="str">
        <f ca="1">IFERROR(__xludf.DUMMYFUNCTION("AI(""Fill an appropriate value for this cell based on the table context"")"),"tactile, tactual, sensory")</f>
        <v>tactile, tactual, sensory</v>
      </c>
      <c r="D609" s="5" t="str">
        <f ca="1">IFERROR(__xludf.DUMMYFUNCTION("AI(""Fill an appropriate value for this cell based on the table context"")"),"The smartphone features haptic feedback to confirm when a key has been pressed.")</f>
        <v>The smartphone features haptic feedback to confirm when a key has been pressed.</v>
      </c>
      <c r="E609" s="5"/>
      <c r="F609" s="5"/>
      <c r="G609" s="5"/>
      <c r="H609" s="5"/>
      <c r="I609" s="5"/>
      <c r="J609" s="5"/>
      <c r="K609" s="5"/>
      <c r="L609" s="5"/>
      <c r="M609" s="5"/>
      <c r="N609" s="5"/>
      <c r="O609" s="5"/>
      <c r="P609" s="5"/>
      <c r="Q609" s="5"/>
      <c r="R609" s="5"/>
      <c r="S609" s="5"/>
      <c r="T609" s="5"/>
      <c r="U609" s="5"/>
      <c r="V609" s="5"/>
      <c r="W609" s="5"/>
      <c r="X609" s="5"/>
      <c r="Y609" s="5"/>
      <c r="Z609" s="5"/>
    </row>
    <row r="610" spans="1:26" ht="12.5" x14ac:dyDescent="0.25">
      <c r="A610" s="5" t="s">
        <v>1072</v>
      </c>
      <c r="B610" s="5" t="str">
        <f ca="1">IFERROR(__xludf.DUMMYFUNCTION("AI(""Fill an appropriate value for this cell based on the table context"")"),"to scatter, disperse, or cause to disappear")</f>
        <v>to scatter, disperse, or cause to disappear</v>
      </c>
      <c r="C610" s="5" t="str">
        <f ca="1">IFERROR(__xludf.DUMMYFUNCTION("AI(""Fill an appropriate value for this cell based on the table context"")"),"squander, waste, disperse")</f>
        <v>squander, waste, disperse</v>
      </c>
      <c r="D610" s="5" t="str">
        <f ca="1">IFERROR(__xludf.DUMMYFUNCTION("AI(""Fill an appropriate value for this cell based on the table context"")"),"The morning fog began to dissipate quickly as the sun rose higher in the sky.")</f>
        <v>The morning fog began to dissipate quickly as the sun rose higher in the sky.</v>
      </c>
      <c r="E610" s="5"/>
      <c r="F610" s="5"/>
      <c r="G610" s="5"/>
      <c r="H610" s="5"/>
      <c r="I610" s="5"/>
      <c r="J610" s="5"/>
      <c r="K610" s="5"/>
      <c r="L610" s="5"/>
      <c r="M610" s="5"/>
      <c r="N610" s="5"/>
      <c r="O610" s="5"/>
      <c r="P610" s="5"/>
      <c r="Q610" s="5"/>
      <c r="R610" s="5"/>
      <c r="S610" s="5"/>
      <c r="T610" s="5"/>
      <c r="U610" s="5"/>
      <c r="V610" s="5"/>
      <c r="W610" s="5"/>
      <c r="X610" s="5"/>
      <c r="Y610" s="5"/>
      <c r="Z610" s="5"/>
    </row>
    <row r="611" spans="1:26" ht="12.5" x14ac:dyDescent="0.25">
      <c r="A611" s="5" t="s">
        <v>1073</v>
      </c>
      <c r="B611" s="5" t="str">
        <f ca="1">IFERROR(__xludf.DUMMYFUNCTION("AI(""Fill an appropriate value for this cell based on the table context"")"),"to lower in rank or demote")</f>
        <v>to lower in rank or demote</v>
      </c>
      <c r="C611" s="5" t="str">
        <f ca="1">IFERROR(__xludf.DUMMYFUNCTION("AI(""Fill an appropriate value for this cell based on the table context"")"),"demote, degrade, downgrade")</f>
        <v>demote, degrade, downgrade</v>
      </c>
      <c r="D611" s="5" t="str">
        <f ca="1">IFERROR(__xludf.DUMMYFUNCTION("AI(""Fill an appropriate value for this cell based on the table context"")"),"The captain decided to disrate the officer following a serious breach of protocol.")</f>
        <v>The captain decided to disrate the officer following a serious breach of protocol.</v>
      </c>
      <c r="E611" s="5"/>
      <c r="F611" s="5"/>
      <c r="G611" s="5"/>
      <c r="H611" s="5"/>
      <c r="I611" s="5"/>
      <c r="J611" s="5"/>
      <c r="K611" s="5"/>
      <c r="L611" s="5"/>
      <c r="M611" s="5"/>
      <c r="N611" s="5"/>
      <c r="O611" s="5"/>
      <c r="P611" s="5"/>
      <c r="Q611" s="5"/>
      <c r="R611" s="5"/>
      <c r="S611" s="5"/>
      <c r="T611" s="5"/>
      <c r="U611" s="5"/>
      <c r="V611" s="5"/>
      <c r="W611" s="5"/>
      <c r="X611" s="5"/>
      <c r="Y611" s="5"/>
      <c r="Z611" s="5"/>
    </row>
    <row r="612" spans="1:26" ht="12.5" x14ac:dyDescent="0.25">
      <c r="A612" s="5" t="s">
        <v>1074</v>
      </c>
      <c r="B612" s="5" t="str">
        <f ca="1">IFERROR(__xludf.DUMMYFUNCTION("AI(""Fill an appropriate value for this cell based on the table context"")"),"a person who lacks or is indifferent to culture and the arts")</f>
        <v>a person who lacks or is indifferent to culture and the arts</v>
      </c>
      <c r="C612" s="5" t="str">
        <f ca="1">IFERROR(__xludf.DUMMYFUNCTION("AI(""Fill an appropriate value for this cell based on the table context"")"),"uncultured, boorish, anti-intellectual")</f>
        <v>uncultured, boorish, anti-intellectual</v>
      </c>
      <c r="D612" s="5" t="str">
        <f ca="1">IFERROR(__xludf.DUMMYFUNCTION("AI(""Fill an appropriate value for this cell based on the table context"")"),"His complete lack of interest in art and literature earned him a reputation as a philistine.")</f>
        <v>His complete lack of interest in art and literature earned him a reputation as a philistine.</v>
      </c>
      <c r="E612" s="5"/>
      <c r="F612" s="5"/>
      <c r="G612" s="5"/>
      <c r="H612" s="5"/>
      <c r="I612" s="5"/>
      <c r="J612" s="5"/>
      <c r="K612" s="5"/>
      <c r="L612" s="5"/>
      <c r="M612" s="5"/>
      <c r="N612" s="5"/>
      <c r="O612" s="5"/>
      <c r="P612" s="5"/>
      <c r="Q612" s="5"/>
      <c r="R612" s="5"/>
      <c r="S612" s="5"/>
      <c r="T612" s="5"/>
      <c r="U612" s="5"/>
      <c r="V612" s="5"/>
      <c r="W612" s="5"/>
      <c r="X612" s="5"/>
      <c r="Y612" s="5"/>
      <c r="Z612" s="5"/>
    </row>
    <row r="613" spans="1:26" ht="12.5" x14ac:dyDescent="0.25">
      <c r="A613" s="5" t="s">
        <v>1075</v>
      </c>
      <c r="B613" s="5" t="str">
        <f ca="1">IFERROR(__xludf.DUMMYFUNCTION("AI(""Fill an appropriate value for this cell based on the table context"")"),"lacking intellectual or cultural sophistication")</f>
        <v>lacking intellectual or cultural sophistication</v>
      </c>
      <c r="C613" s="5" t="str">
        <f ca="1">IFERROR(__xludf.DUMMYFUNCTION("AI(""Fill an appropriate value for this cell based on the table context"")"),"unsophisticated, uncultured, vulgar")</f>
        <v>unsophisticated, uncultured, vulgar</v>
      </c>
      <c r="D613" s="5" t="str">
        <f ca="1">IFERROR(__xludf.DUMMYFUNCTION("AI(""Fill an appropriate value for this cell based on the table context"")"),"She enjoyed watching lowbrow comedy shows to unwind after a long, stressful day.")</f>
        <v>She enjoyed watching lowbrow comedy shows to unwind after a long, stressful day.</v>
      </c>
      <c r="E613" s="5"/>
      <c r="F613" s="5"/>
      <c r="G613" s="5"/>
      <c r="H613" s="5"/>
      <c r="I613" s="5"/>
      <c r="J613" s="5"/>
      <c r="K613" s="5"/>
      <c r="L613" s="5"/>
      <c r="M613" s="5"/>
      <c r="N613" s="5"/>
      <c r="O613" s="5"/>
      <c r="P613" s="5"/>
      <c r="Q613" s="5"/>
      <c r="R613" s="5"/>
      <c r="S613" s="5"/>
      <c r="T613" s="5"/>
      <c r="U613" s="5"/>
      <c r="V613" s="5"/>
      <c r="W613" s="5"/>
      <c r="X613" s="5"/>
      <c r="Y613" s="5"/>
      <c r="Z613" s="5"/>
    </row>
    <row r="614" spans="1:26" ht="12.5" x14ac:dyDescent="0.25">
      <c r="A614" s="5" t="s">
        <v>1076</v>
      </c>
      <c r="B614" s="5" t="str">
        <f ca="1">IFERROR(__xludf.DUMMYFUNCTION("AI(""Fill an appropriate value for this cell based on the table context"")"),"a person who commits a crime or does evil")</f>
        <v>a person who commits a crime or does evil</v>
      </c>
      <c r="C614" s="5" t="str">
        <f ca="1">IFERROR(__xludf.DUMMYFUNCTION("AI(""Fill an appropriate value for this cell based on the table context"")"),"criminal, wrongdoer, evildoer")</f>
        <v>criminal, wrongdoer, evildoer</v>
      </c>
      <c r="D614" s="5" t="str">
        <f ca="1">IFERROR(__xludf.DUMMYFUNCTION("AI(""Fill an appropriate value for this cell based on the table context"")"),"The police finally captured the malefactor responsible for the series of bank robberies.")</f>
        <v>The police finally captured the malefactor responsible for the series of bank robberies.</v>
      </c>
      <c r="E614" s="5"/>
      <c r="F614" s="5"/>
      <c r="G614" s="5"/>
      <c r="H614" s="5"/>
      <c r="I614" s="5"/>
      <c r="J614" s="5"/>
      <c r="K614" s="5"/>
      <c r="L614" s="5"/>
      <c r="M614" s="5"/>
      <c r="N614" s="5"/>
      <c r="O614" s="5"/>
      <c r="P614" s="5"/>
      <c r="Q614" s="5"/>
      <c r="R614" s="5"/>
      <c r="S614" s="5"/>
      <c r="T614" s="5"/>
      <c r="U614" s="5"/>
      <c r="V614" s="5"/>
      <c r="W614" s="5"/>
      <c r="X614" s="5"/>
      <c r="Y614" s="5"/>
      <c r="Z614" s="5"/>
    </row>
    <row r="615" spans="1:26" ht="12.5" x14ac:dyDescent="0.25">
      <c r="A615" s="5" t="s">
        <v>1077</v>
      </c>
      <c r="B615" s="5" t="str">
        <f ca="1">IFERROR(__xludf.DUMMYFUNCTION("AI(""Fill an appropriate value for this cell based on the table context"")"),"to criticize or scold someone severely")</f>
        <v>to criticize or scold someone severely</v>
      </c>
      <c r="C615" s="5" t="str">
        <f ca="1">IFERROR(__xludf.DUMMYFUNCTION("AI(""Fill an appropriate value for this cell based on the table context"")"),"scold, reprimand, berate")</f>
        <v>scold, reprimand, berate</v>
      </c>
      <c r="D615" s="5" t="str">
        <f ca="1">IFERROR(__xludf.DUMMYFUNCTION("AI(""Fill an appropriate value for this cell based on the table context"")"),"The manager had to upbraid the employee for consistently missing project deadlines.")</f>
        <v>The manager had to upbraid the employee for consistently missing project deadlines.</v>
      </c>
      <c r="E615" s="5"/>
      <c r="F615" s="5"/>
      <c r="G615" s="5"/>
      <c r="H615" s="5"/>
      <c r="I615" s="5"/>
      <c r="J615" s="5"/>
      <c r="K615" s="5"/>
      <c r="L615" s="5"/>
      <c r="M615" s="5"/>
      <c r="N615" s="5"/>
      <c r="O615" s="5"/>
      <c r="P615" s="5"/>
      <c r="Q615" s="5"/>
      <c r="R615" s="5"/>
      <c r="S615" s="5"/>
      <c r="T615" s="5"/>
      <c r="U615" s="5"/>
      <c r="V615" s="5"/>
      <c r="W615" s="5"/>
      <c r="X615" s="5"/>
      <c r="Y615" s="5"/>
      <c r="Z615" s="5"/>
    </row>
    <row r="616" spans="1:26" ht="12.5" x14ac:dyDescent="0.25">
      <c r="A616" s="5" t="s">
        <v>1078</v>
      </c>
      <c r="B616" s="5" t="str">
        <f ca="1">IFERROR(__xludf.DUMMYFUNCTION("AI(""Fill an appropriate value for this cell based on the table context"")"),"intoxicating or strongly affecting the mind or senses")</f>
        <v>intoxicating or strongly affecting the mind or senses</v>
      </c>
      <c r="C616" s="5" t="str">
        <f ca="1">IFERROR(__xludf.DUMMYFUNCTION("AI(""Fill an appropriate value for this cell based on the table context"")"),"intoxicating, exhilarating, thrilling")</f>
        <v>intoxicating, exhilarating, thrilling</v>
      </c>
      <c r="D616" s="5" t="str">
        <f ca="1">IFERROR(__xludf.DUMMYFUNCTION("AI(""Fill an appropriate value for this cell based on the table context"")"),"The heady aroma of fresh espresso filled the small kitchen every morning.")</f>
        <v>The heady aroma of fresh espresso filled the small kitchen every morning.</v>
      </c>
      <c r="E616" s="5"/>
      <c r="F616" s="5"/>
      <c r="G616" s="5"/>
      <c r="H616" s="5"/>
      <c r="I616" s="5"/>
      <c r="J616" s="5"/>
      <c r="K616" s="5"/>
      <c r="L616" s="5"/>
      <c r="M616" s="5"/>
      <c r="N616" s="5"/>
      <c r="O616" s="5"/>
      <c r="P616" s="5"/>
      <c r="Q616" s="5"/>
      <c r="R616" s="5"/>
      <c r="S616" s="5"/>
      <c r="T616" s="5"/>
      <c r="U616" s="5"/>
      <c r="V616" s="5"/>
      <c r="W616" s="5"/>
      <c r="X616" s="5"/>
      <c r="Y616" s="5"/>
      <c r="Z616" s="5"/>
    </row>
    <row r="617" spans="1:26" ht="12.5" x14ac:dyDescent="0.25">
      <c r="A617" s="5" t="s">
        <v>1079</v>
      </c>
      <c r="B617" s="5" t="str">
        <f ca="1">IFERROR(__xludf.DUMMYFUNCTION("AI(""Fill an appropriate value for this cell based on the table context"")"),"relating to, resembling, or containing wine")</f>
        <v>relating to, resembling, or containing wine</v>
      </c>
      <c r="C617" s="5" t="str">
        <f ca="1">IFERROR(__xludf.DUMMYFUNCTION("AI(""Fill an appropriate value for this cell based on the table context"")"),"alcoholic, intoxicating, spirituous")</f>
        <v>alcoholic, intoxicating, spirituous</v>
      </c>
      <c r="D617" s="5" t="str">
        <f ca="1">IFERROR(__xludf.DUMMYFUNCTION("AI(""Fill an appropriate value for this cell based on the table context"")"),"The sommelier described the vintage as having a rich, complex vinous character.")</f>
        <v>The sommelier described the vintage as having a rich, complex vinous character.</v>
      </c>
      <c r="E617" s="5"/>
      <c r="F617" s="5"/>
      <c r="G617" s="5"/>
      <c r="H617" s="5"/>
      <c r="I617" s="5"/>
      <c r="J617" s="5"/>
      <c r="K617" s="5"/>
      <c r="L617" s="5"/>
      <c r="M617" s="5"/>
      <c r="N617" s="5"/>
      <c r="O617" s="5"/>
      <c r="P617" s="5"/>
      <c r="Q617" s="5"/>
      <c r="R617" s="5"/>
      <c r="S617" s="5"/>
      <c r="T617" s="5"/>
      <c r="U617" s="5"/>
      <c r="V617" s="5"/>
      <c r="W617" s="5"/>
      <c r="X617" s="5"/>
      <c r="Y617" s="5"/>
      <c r="Z617" s="5"/>
    </row>
    <row r="618" spans="1:26" ht="12.5" x14ac:dyDescent="0.25">
      <c r="A618" s="5" t="s">
        <v>1080</v>
      </c>
      <c r="B618" s="5" t="str">
        <f ca="1">IFERROR(__xludf.DUMMYFUNCTION("AI(""Fill an appropriate value for this cell based on the table context"")"),"to make drunk or intoxicate")</f>
        <v>to make drunk or intoxicate</v>
      </c>
      <c r="C618" s="5" t="str">
        <f ca="1">IFERROR(__xludf.DUMMYFUNCTION("AI(""Fill an appropriate value for this cell based on the table context"")"),"drunk, intoxicated, drunken")</f>
        <v>drunk, intoxicated, drunken</v>
      </c>
      <c r="D618" s="5" t="str">
        <f ca="1">IFERROR(__xludf.DUMMYFUNCTION("AI(""Fill an appropriate value for this cell based on the table context"")"),"The loud music and strong drinks threatened to inebriate the celebratory crowd.")</f>
        <v>The loud music and strong drinks threatened to inebriate the celebratory crowd.</v>
      </c>
      <c r="E618" s="5"/>
      <c r="F618" s="5"/>
      <c r="G618" s="5"/>
      <c r="H618" s="5"/>
      <c r="I618" s="5"/>
      <c r="J618" s="5"/>
      <c r="K618" s="5"/>
      <c r="L618" s="5"/>
      <c r="M618" s="5"/>
      <c r="N618" s="5"/>
      <c r="O618" s="5"/>
      <c r="P618" s="5"/>
      <c r="Q618" s="5"/>
      <c r="R618" s="5"/>
      <c r="S618" s="5"/>
      <c r="T618" s="5"/>
      <c r="U618" s="5"/>
      <c r="V618" s="5"/>
      <c r="W618" s="5"/>
      <c r="X618" s="5"/>
      <c r="Y618" s="5"/>
      <c r="Z618" s="5"/>
    </row>
    <row r="619" spans="1:26" ht="12.5" x14ac:dyDescent="0.25">
      <c r="A619" s="5" t="s">
        <v>1081</v>
      </c>
      <c r="B619" s="5" t="str">
        <f ca="1">IFERROR(__xludf.DUMMYFUNCTION("AI(""Fill an appropriate value for this cell based on the table context"")"),"to criticize or denounce someone extremely harshly")</f>
        <v>to criticize or denounce someone extremely harshly</v>
      </c>
      <c r="C619" s="5" t="str">
        <f ca="1">IFERROR(__xludf.DUMMYFUNCTION("AI(""Fill an appropriate value for this cell based on the table context"")"),"criticize, castigate, lambast")</f>
        <v>criticize, castigate, lambast</v>
      </c>
      <c r="D619" s="5" t="str">
        <f ca="1">IFERROR(__xludf.DUMMYFUNCTION("AI(""Fill an appropriate value for this cell based on the table context"")"),"The movie critic proceeded to excoriate the film for its weak plot and poor acting.")</f>
        <v>The movie critic proceeded to excoriate the film for its weak plot and poor acting.</v>
      </c>
      <c r="E619" s="5"/>
      <c r="F619" s="5"/>
      <c r="G619" s="5"/>
      <c r="H619" s="5"/>
      <c r="I619" s="5"/>
      <c r="J619" s="5"/>
      <c r="K619" s="5"/>
      <c r="L619" s="5"/>
      <c r="M619" s="5"/>
      <c r="N619" s="5"/>
      <c r="O619" s="5"/>
      <c r="P619" s="5"/>
      <c r="Q619" s="5"/>
      <c r="R619" s="5"/>
      <c r="S619" s="5"/>
      <c r="T619" s="5"/>
      <c r="U619" s="5"/>
      <c r="V619" s="5"/>
      <c r="W619" s="5"/>
      <c r="X619" s="5"/>
      <c r="Y619" s="5"/>
      <c r="Z619" s="5"/>
    </row>
    <row r="620" spans="1:26" ht="12.5" x14ac:dyDescent="0.25">
      <c r="A620" s="5" t="s">
        <v>1082</v>
      </c>
      <c r="B620" s="5" t="str">
        <f ca="1">IFERROR(__xludf.DUMMYFUNCTION("AI(""Fill an appropriate value for this cell based on the table context"")"),"a roundabout or indirect way of speaking")</f>
        <v>a roundabout or indirect way of speaking</v>
      </c>
      <c r="C620" s="5" t="str">
        <f ca="1">IFERROR(__xludf.DUMMYFUNCTION("AI(""Fill an appropriate value for this cell based on the table context"")"),"indirectness, verbosity, periphrasis")</f>
        <v>indirectness, verbosity, periphrasis</v>
      </c>
      <c r="D620" s="5" t="str">
        <f ca="1">IFERROR(__xludf.DUMMYFUNCTION("AI(""Fill an appropriate value for this cell based on the table context"")"),"His long speech was filled with unnecessary circumlocution to avoid answering the question directly.")</f>
        <v>His long speech was filled with unnecessary circumlocution to avoid answering the question directly.</v>
      </c>
      <c r="E620" s="5"/>
      <c r="F620" s="5"/>
      <c r="G620" s="5"/>
      <c r="H620" s="5"/>
      <c r="I620" s="5"/>
      <c r="J620" s="5"/>
      <c r="K620" s="5"/>
      <c r="L620" s="5"/>
      <c r="M620" s="5"/>
      <c r="N620" s="5"/>
      <c r="O620" s="5"/>
      <c r="P620" s="5"/>
      <c r="Q620" s="5"/>
      <c r="R620" s="5"/>
      <c r="S620" s="5"/>
      <c r="T620" s="5"/>
      <c r="U620" s="5"/>
      <c r="V620" s="5"/>
      <c r="W620" s="5"/>
      <c r="X620" s="5"/>
      <c r="Y620" s="5"/>
      <c r="Z620" s="5"/>
    </row>
    <row r="621" spans="1:26" ht="12.5" x14ac:dyDescent="0.25">
      <c r="A621" s="5" t="s">
        <v>1083</v>
      </c>
      <c r="B621" s="5" t="str">
        <f ca="1">IFERROR(__xludf.DUMMYFUNCTION("AI(""Fill an appropriate value for this cell based on the table context"")"),"a mournful song or hymn expressing grief for the dead")</f>
        <v>a mournful song or hymn expressing grief for the dead</v>
      </c>
      <c r="C621" s="5" t="str">
        <f ca="1">IFERROR(__xludf.DUMMYFUNCTION("AI(""Fill an appropriate value for this cell based on the table context"")"),"lament, requiem, threnody")</f>
        <v>lament, requiem, threnody</v>
      </c>
      <c r="D621" s="5" t="str">
        <f ca="1">IFERROR(__xludf.DUMMYFUNCTION("AI(""Fill an appropriate value for this cell based on the table context"")"),"A mournful dirge played softly in the background during the funeral procession.")</f>
        <v>A mournful dirge played softly in the background during the funeral procession.</v>
      </c>
      <c r="E621" s="5"/>
      <c r="F621" s="5"/>
      <c r="G621" s="5"/>
      <c r="H621" s="5"/>
      <c r="I621" s="5"/>
      <c r="J621" s="5"/>
      <c r="K621" s="5"/>
      <c r="L621" s="5"/>
      <c r="M621" s="5"/>
      <c r="N621" s="5"/>
      <c r="O621" s="5"/>
      <c r="P621" s="5"/>
      <c r="Q621" s="5"/>
      <c r="R621" s="5"/>
      <c r="S621" s="5"/>
      <c r="T621" s="5"/>
      <c r="U621" s="5"/>
      <c r="V621" s="5"/>
      <c r="W621" s="5"/>
      <c r="X621" s="5"/>
      <c r="Y621" s="5"/>
      <c r="Z621" s="5"/>
    </row>
    <row r="622" spans="1:26" ht="12.5" x14ac:dyDescent="0.25">
      <c r="A622" s="5" t="s">
        <v>1084</v>
      </c>
      <c r="B622" s="5" t="str">
        <f ca="1">IFERROR(__xludf.DUMMYFUNCTION("AI(""Fill an appropriate value for this cell based on the table context"")"),"a poem of serious reflection or lamentation for the dead")</f>
        <v>a poem of serious reflection or lamentation for the dead</v>
      </c>
      <c r="C622" s="5" t="str">
        <f ca="1">IFERROR(__xludf.DUMMYFUNCTION("AI(""Fill an appropriate value for this cell based on the table context"")"),"lament, dirge, requiem")</f>
        <v>lament, dirge, requiem</v>
      </c>
      <c r="D622" s="5" t="str">
        <f ca="1">IFERROR(__xludf.DUMMYFUNCTION("AI(""Fill an appropriate value for this cell based on the table context"")"),"The poet wrote a moving elegy in memory of his late grandfather.")</f>
        <v>The poet wrote a moving elegy in memory of his late grandfather.</v>
      </c>
      <c r="E622" s="5"/>
      <c r="F622" s="5"/>
      <c r="G622" s="5"/>
      <c r="H622" s="5"/>
      <c r="I622" s="5"/>
      <c r="J622" s="5"/>
      <c r="K622" s="5"/>
      <c r="L622" s="5"/>
      <c r="M622" s="5"/>
      <c r="N622" s="5"/>
      <c r="O622" s="5"/>
      <c r="P622" s="5"/>
      <c r="Q622" s="5"/>
      <c r="R622" s="5"/>
      <c r="S622" s="5"/>
      <c r="T622" s="5"/>
      <c r="U622" s="5"/>
      <c r="V622" s="5"/>
      <c r="W622" s="5"/>
      <c r="X622" s="5"/>
      <c r="Y622" s="5"/>
      <c r="Z622" s="5"/>
    </row>
    <row r="623" spans="1:26" ht="12.5" x14ac:dyDescent="0.25">
      <c r="A623" s="5" t="s">
        <v>1085</v>
      </c>
      <c r="B623" s="5" t="str">
        <f ca="1">IFERROR(__xludf.DUMMYFUNCTION("AI(""Fill an appropriate value for this cell based on the table context"")"),"a bad-tempered or irritable person")</f>
        <v>a bad-tempered or irritable person</v>
      </c>
      <c r="C623" s="5" t="str">
        <f ca="1">IFERROR(__xludf.DUMMYFUNCTION("AI(""Fill an appropriate value for this cell based on the table context"")"),"curmudgeon, sourpuss, grump")</f>
        <v>curmudgeon, sourpuss, grump</v>
      </c>
      <c r="D623" s="5" t="str">
        <f ca="1">IFERROR(__xludf.DUMMYFUNCTION("AI(""Fill an appropriate value for this cell based on the table context"")"),"The old crosspatch complained incessantly about the children playing near his garden.")</f>
        <v>The old crosspatch complained incessantly about the children playing near his garden.</v>
      </c>
      <c r="E623" s="5"/>
      <c r="F623" s="5"/>
      <c r="G623" s="5"/>
      <c r="H623" s="5"/>
      <c r="I623" s="5"/>
      <c r="J623" s="5"/>
      <c r="K623" s="5"/>
      <c r="L623" s="5"/>
      <c r="M623" s="5"/>
      <c r="N623" s="5"/>
      <c r="O623" s="5"/>
      <c r="P623" s="5"/>
      <c r="Q623" s="5"/>
      <c r="R623" s="5"/>
      <c r="S623" s="5"/>
      <c r="T623" s="5"/>
      <c r="U623" s="5"/>
      <c r="V623" s="5"/>
      <c r="W623" s="5"/>
      <c r="X623" s="5"/>
      <c r="Y623" s="5"/>
      <c r="Z623" s="5"/>
    </row>
    <row r="624" spans="1:26" ht="12.5" x14ac:dyDescent="0.25">
      <c r="A624" s="5" t="s">
        <v>1086</v>
      </c>
      <c r="B624" s="5" t="str">
        <f ca="1">IFERROR(__xludf.DUMMYFUNCTION("AI(""Fill an appropriate value for this cell based on the table context"")"),"a bad-tempered, crusty, or cantankerous person")</f>
        <v>a bad-tempered, crusty, or cantankerous person</v>
      </c>
      <c r="C624" s="5" t="str">
        <f ca="1">IFERROR(__xludf.DUMMYFUNCTION("AI(""Fill an appropriate value for this cell based on the table context"")"),"grouch, sourpuss, grump")</f>
        <v>grouch, sourpuss, grump</v>
      </c>
      <c r="D624" s="5" t="str">
        <f ca="1">IFERROR(__xludf.DUMMYFUNCTION("AI(""Fill an appropriate value for this cell based on the table context"")"),"Despite his reputation as a curmudgeon, the neighbor secretly left gifts on our doorstep.")</f>
        <v>Despite his reputation as a curmudgeon, the neighbor secretly left gifts on our doorstep.</v>
      </c>
      <c r="E624" s="5"/>
      <c r="F624" s="5"/>
      <c r="G624" s="5"/>
      <c r="H624" s="5"/>
      <c r="I624" s="5"/>
      <c r="J624" s="5"/>
      <c r="K624" s="5"/>
      <c r="L624" s="5"/>
      <c r="M624" s="5"/>
      <c r="N624" s="5"/>
      <c r="O624" s="5"/>
      <c r="P624" s="5"/>
      <c r="Q624" s="5"/>
      <c r="R624" s="5"/>
      <c r="S624" s="5"/>
      <c r="T624" s="5"/>
      <c r="U624" s="5"/>
      <c r="V624" s="5"/>
      <c r="W624" s="5"/>
      <c r="X624" s="5"/>
      <c r="Y624" s="5"/>
      <c r="Z624" s="5"/>
    </row>
    <row r="625" spans="1:26" ht="12.5" x14ac:dyDescent="0.25">
      <c r="A625" s="5" t="s">
        <v>1087</v>
      </c>
      <c r="B625" s="5" t="str">
        <f ca="1">IFERROR(__xludf.DUMMYFUNCTION("AI(""Fill an appropriate value for this cell based on the table context"")"),"to instigate, incite, or stir up discord or trouble")</f>
        <v>to instigate, incite, or stir up discord or trouble</v>
      </c>
      <c r="C625" s="5" t="str">
        <f ca="1">IFERROR(__xludf.DUMMYFUNCTION("AI(""Fill an appropriate value for this cell based on the table context"")"),"incite, instigate, provoke")</f>
        <v>incite, instigate, provoke</v>
      </c>
      <c r="D625" s="5" t="str">
        <f ca="1">IFERROR(__xludf.DUMMYFUNCTION("AI(""Fill an appropriate value for this cell based on the table context"")"),"The political activist attempted to foment rebellion among the disgruntled workers.")</f>
        <v>The political activist attempted to foment rebellion among the disgruntled workers.</v>
      </c>
      <c r="E625" s="5"/>
      <c r="F625" s="5"/>
      <c r="G625" s="5"/>
      <c r="H625" s="5"/>
      <c r="I625" s="5"/>
      <c r="J625" s="5"/>
      <c r="K625" s="5"/>
      <c r="L625" s="5"/>
      <c r="M625" s="5"/>
      <c r="N625" s="5"/>
      <c r="O625" s="5"/>
      <c r="P625" s="5"/>
      <c r="Q625" s="5"/>
      <c r="R625" s="5"/>
      <c r="S625" s="5"/>
      <c r="T625" s="5"/>
      <c r="U625" s="5"/>
      <c r="V625" s="5"/>
      <c r="W625" s="5"/>
      <c r="X625" s="5"/>
      <c r="Y625" s="5"/>
      <c r="Z625" s="5"/>
    </row>
    <row r="626" spans="1:26" ht="12.5" x14ac:dyDescent="0.25">
      <c r="A626" s="5" t="s">
        <v>1088</v>
      </c>
      <c r="B626" s="5" t="str">
        <f ca="1">IFERROR(__xludf.DUMMYFUNCTION("AI(""Fill an appropriate value for this cell based on the table context"")"),"a roundabout or indirect way of expressing something")</f>
        <v>a roundabout or indirect way of expressing something</v>
      </c>
      <c r="C626" s="5" t="str">
        <f ca="1">IFERROR(__xludf.DUMMYFUNCTION("AI(""Fill an appropriate value for this cell based on the table context"")"),"circumlocution, verbosity, verbiage")</f>
        <v>circumlocution, verbosity, verbiage</v>
      </c>
      <c r="D626" s="5" t="str">
        <f ca="1">IFERROR(__xludf.DUMMYFUNCTION("AI(""Fill an appropriate value for this cell based on the table context"")"),"The speaker used periphrasis to avoid addressing the sensitive topic directly.")</f>
        <v>The speaker used periphrasis to avoid addressing the sensitive topic directly.</v>
      </c>
      <c r="E626" s="5"/>
      <c r="F626" s="5"/>
      <c r="G626" s="5"/>
      <c r="H626" s="5"/>
      <c r="I626" s="5"/>
      <c r="J626" s="5"/>
      <c r="K626" s="5"/>
      <c r="L626" s="5"/>
      <c r="M626" s="5"/>
      <c r="N626" s="5"/>
      <c r="O626" s="5"/>
      <c r="P626" s="5"/>
      <c r="Q626" s="5"/>
      <c r="R626" s="5"/>
      <c r="S626" s="5"/>
      <c r="T626" s="5"/>
      <c r="U626" s="5"/>
      <c r="V626" s="5"/>
      <c r="W626" s="5"/>
      <c r="X626" s="5"/>
      <c r="Y626" s="5"/>
      <c r="Z626" s="5"/>
    </row>
    <row r="627" spans="1:26" ht="12.5" x14ac:dyDescent="0.25">
      <c r="A627" s="5" t="s">
        <v>1089</v>
      </c>
      <c r="B627" s="5" t="str">
        <f ca="1">IFERROR(__xludf.DUMMYFUNCTION("AI(""Fill an appropriate value for this cell based on the table context"")"),"long and detailed explanation or discussion of a subject")</f>
        <v>long and detailed explanation or discussion of a subject</v>
      </c>
      <c r="C627" s="5" t="str">
        <f ca="1">IFERROR(__xludf.DUMMYFUNCTION("AI(""Fill an appropriate value for this cell based on the table context"")"),"discourse, dissertation, treatise")</f>
        <v>discourse, dissertation, treatise</v>
      </c>
      <c r="D627" s="5" t="str">
        <f ca="1">IFERROR(__xludf.DUMMYFUNCTION("AI(""Fill an appropriate value for this cell based on the table context"")"),"The professor delivered a lengthy disquisition on ancient Greek philosophy.")</f>
        <v>The professor delivered a lengthy disquisition on ancient Greek philosophy.</v>
      </c>
      <c r="E627" s="5"/>
      <c r="F627" s="5"/>
      <c r="G627" s="5"/>
      <c r="H627" s="5"/>
      <c r="I627" s="5"/>
      <c r="J627" s="5"/>
      <c r="K627" s="5"/>
      <c r="L627" s="5"/>
      <c r="M627" s="5"/>
      <c r="N627" s="5"/>
      <c r="O627" s="5"/>
      <c r="P627" s="5"/>
      <c r="Q627" s="5"/>
      <c r="R627" s="5"/>
      <c r="S627" s="5"/>
      <c r="T627" s="5"/>
      <c r="U627" s="5"/>
      <c r="V627" s="5"/>
      <c r="W627" s="5"/>
      <c r="X627" s="5"/>
      <c r="Y627" s="5"/>
      <c r="Z627" s="5"/>
    </row>
    <row r="628" spans="1:26" ht="12.5" x14ac:dyDescent="0.25">
      <c r="A628" s="5" t="s">
        <v>1090</v>
      </c>
      <c r="B628" s="5" t="str">
        <f ca="1">IFERROR(__xludf.DUMMYFUNCTION("AI(""Fill an appropriate value for this cell based on the table context"")"),"understood or implied without being expressed directly")</f>
        <v>understood or implied without being expressed directly</v>
      </c>
      <c r="C628" s="5" t="str">
        <f ca="1">IFERROR(__xludf.DUMMYFUNCTION("AI(""Fill an appropriate value for this cell based on the table context"")"),"implied, implicit, unspoken")</f>
        <v>implied, implicit, unspoken</v>
      </c>
      <c r="D628" s="5" t="str">
        <f ca="1">IFERROR(__xludf.DUMMYFUNCTION("AI(""Fill an appropriate value for this cell based on the table context"")"),"The two colleagues had a tacit agreement to share the project workload evenly.")</f>
        <v>The two colleagues had a tacit agreement to share the project workload evenly.</v>
      </c>
      <c r="E628" s="5"/>
      <c r="F628" s="5"/>
      <c r="G628" s="5"/>
      <c r="H628" s="5"/>
      <c r="I628" s="5"/>
      <c r="J628" s="5"/>
      <c r="K628" s="5"/>
      <c r="L628" s="5"/>
      <c r="M628" s="5"/>
      <c r="N628" s="5"/>
      <c r="O628" s="5"/>
      <c r="P628" s="5"/>
      <c r="Q628" s="5"/>
      <c r="R628" s="5"/>
      <c r="S628" s="5"/>
      <c r="T628" s="5"/>
      <c r="U628" s="5"/>
      <c r="V628" s="5"/>
      <c r="W628" s="5"/>
      <c r="X628" s="5"/>
      <c r="Y628" s="5"/>
      <c r="Z628" s="5"/>
    </row>
    <row r="629" spans="1:26" ht="12.5" x14ac:dyDescent="0.25">
      <c r="A629" s="5" t="s">
        <v>1091</v>
      </c>
      <c r="B629" s="5" t="str">
        <f ca="1">IFERROR(__xludf.DUMMYFUNCTION("AI(""Fill an appropriate value for this cell based on the table context"")"),"offensively self-assertive or unpleasantly confident")</f>
        <v>offensively self-assertive or unpleasantly confident</v>
      </c>
      <c r="C629" s="5" t="str">
        <f ca="1">IFERROR(__xludf.DUMMYFUNCTION("AI(""Fill an appropriate value for this cell based on the table context"")"),"arrogant, cocky, conceited")</f>
        <v>arrogant, cocky, conceited</v>
      </c>
      <c r="D629" s="5" t="str">
        <f ca="1">IFERROR(__xludf.DUMMYFUNCTION("AI(""Fill an appropriate value for this cell based on the table context"")"),"His bumptious attitude annoyed everyone at the board meeting.")</f>
        <v>His bumptious attitude annoyed everyone at the board meeting.</v>
      </c>
      <c r="E629" s="5"/>
      <c r="F629" s="5"/>
      <c r="G629" s="5"/>
      <c r="H629" s="5"/>
      <c r="I629" s="5"/>
      <c r="J629" s="5"/>
      <c r="K629" s="5"/>
      <c r="L629" s="5"/>
      <c r="M629" s="5"/>
      <c r="N629" s="5"/>
      <c r="O629" s="5"/>
      <c r="P629" s="5"/>
      <c r="Q629" s="5"/>
      <c r="R629" s="5"/>
      <c r="S629" s="5"/>
      <c r="T629" s="5"/>
      <c r="U629" s="5"/>
      <c r="V629" s="5"/>
      <c r="W629" s="5"/>
      <c r="X629" s="5"/>
      <c r="Y629" s="5"/>
      <c r="Z629" s="5"/>
    </row>
    <row r="630" spans="1:26" ht="12.5" x14ac:dyDescent="0.25">
      <c r="A630" s="5" t="s">
        <v>1092</v>
      </c>
      <c r="B630" s="5" t="str">
        <f ca="1">IFERROR(__xludf.DUMMYFUNCTION("AI(""Fill an appropriate value for this cell based on the table context"")"),"easily annoyed or irritated")</f>
        <v>easily annoyed or irritated</v>
      </c>
      <c r="C630" s="5" t="str">
        <f ca="1">IFERROR(__xludf.DUMMYFUNCTION("AI(""Fill an appropriate value for this cell based on the table context"")"),"irritable, petulant, grumpy")</f>
        <v>irritable, petulant, grumpy</v>
      </c>
      <c r="D630" s="5" t="str">
        <f ca="1">IFERROR(__xludf.DUMMYFUNCTION("AI(""Fill an appropriate value for this cell based on the table context"")"),"The tired child became peevish and refused to eat his dinner.")</f>
        <v>The tired child became peevish and refused to eat his dinner.</v>
      </c>
      <c r="E630" s="5"/>
      <c r="F630" s="5"/>
      <c r="G630" s="5"/>
      <c r="H630" s="5"/>
      <c r="I630" s="5"/>
      <c r="J630" s="5"/>
      <c r="K630" s="5"/>
      <c r="L630" s="5"/>
      <c r="M630" s="5"/>
      <c r="N630" s="5"/>
      <c r="O630" s="5"/>
      <c r="P630" s="5"/>
      <c r="Q630" s="5"/>
      <c r="R630" s="5"/>
      <c r="S630" s="5"/>
      <c r="T630" s="5"/>
      <c r="U630" s="5"/>
      <c r="V630" s="5"/>
      <c r="W630" s="5"/>
      <c r="X630" s="5"/>
      <c r="Y630" s="5"/>
      <c r="Z630" s="5"/>
    </row>
    <row r="631" spans="1:26" ht="12.5" x14ac:dyDescent="0.25">
      <c r="A631" s="5" t="s">
        <v>1093</v>
      </c>
      <c r="B631" s="5" t="str">
        <f ca="1">IFERROR(__xludf.DUMMYFUNCTION("AI(""Fill an appropriate value for this cell based on the table context"")"),"shockingly vivid, explicit, or sensational")</f>
        <v>shockingly vivid, explicit, or sensational</v>
      </c>
      <c r="C631" s="5" t="str">
        <f ca="1">IFERROR(__xludf.DUMMYFUNCTION("AI(""Fill an appropriate value for this cell based on the table context"")"),"sensational, gruesome, shocking")</f>
        <v>sensational, gruesome, shocking</v>
      </c>
      <c r="D631" s="5" t="str">
        <f ca="1">IFERROR(__xludf.DUMMYFUNCTION("AI(""Fill an appropriate value for this cell based on the table context"")"),"The tabloid published a lurid story about the celebrity's personal life.")</f>
        <v>The tabloid published a lurid story about the celebrity's personal life.</v>
      </c>
      <c r="E631" s="5"/>
      <c r="F631" s="5"/>
      <c r="G631" s="5"/>
      <c r="H631" s="5"/>
      <c r="I631" s="5"/>
      <c r="J631" s="5"/>
      <c r="K631" s="5"/>
      <c r="L631" s="5"/>
      <c r="M631" s="5"/>
      <c r="N631" s="5"/>
      <c r="O631" s="5"/>
      <c r="P631" s="5"/>
      <c r="Q631" s="5"/>
      <c r="R631" s="5"/>
      <c r="S631" s="5"/>
      <c r="T631" s="5"/>
      <c r="U631" s="5"/>
      <c r="V631" s="5"/>
      <c r="W631" s="5"/>
      <c r="X631" s="5"/>
      <c r="Y631" s="5"/>
      <c r="Z631" s="5"/>
    </row>
    <row r="632" spans="1:26" ht="12.5" x14ac:dyDescent="0.25">
      <c r="A632" s="5" t="s">
        <v>1094</v>
      </c>
      <c r="B632" s="5" t="str">
        <f ca="1">IFERROR(__xludf.DUMMYFUNCTION("AI(""Fill an appropriate value for this cell based on the table context"")"),"excessively sad, mournful, or dismal")</f>
        <v>excessively sad, mournful, or dismal</v>
      </c>
      <c r="C632" s="5" t="str">
        <f ca="1">IFERROR(__xludf.DUMMYFUNCTION("AI(""Fill an appropriate value for this cell based on the table context"")"),"mournful, gloomy, doleful")</f>
        <v>mournful, gloomy, doleful</v>
      </c>
      <c r="D632" s="5" t="str">
        <f ca="1">IFERROR(__xludf.DUMMYFUNCTION("AI(""Fill an appropriate value for this cell based on the table context"")"),"The dark, foggy morning matched the speaker's lugubrious tone.")</f>
        <v>The dark, foggy morning matched the speaker's lugubrious tone.</v>
      </c>
      <c r="E632" s="5"/>
      <c r="F632" s="5"/>
      <c r="G632" s="5"/>
      <c r="H632" s="5"/>
      <c r="I632" s="5"/>
      <c r="J632" s="5"/>
      <c r="K632" s="5"/>
      <c r="L632" s="5"/>
      <c r="M632" s="5"/>
      <c r="N632" s="5"/>
      <c r="O632" s="5"/>
      <c r="P632" s="5"/>
      <c r="Q632" s="5"/>
      <c r="R632" s="5"/>
      <c r="S632" s="5"/>
      <c r="T632" s="5"/>
      <c r="U632" s="5"/>
      <c r="V632" s="5"/>
      <c r="W632" s="5"/>
      <c r="X632" s="5"/>
      <c r="Y632" s="5"/>
      <c r="Z632" s="5"/>
    </row>
    <row r="633" spans="1:26" ht="12.5" x14ac:dyDescent="0.25">
      <c r="A633" s="5" t="s">
        <v>1095</v>
      </c>
      <c r="B633" s="5" t="str">
        <f ca="1">IFERROR(__xludf.DUMMYFUNCTION("AI(""Fill an appropriate value for this cell based on the table context"")"),"extremely rich, luxurious, or magnificent")</f>
        <v>extremely rich, luxurious, or magnificent</v>
      </c>
      <c r="C633" s="5" t="str">
        <f ca="1">IFERROR(__xludf.DUMMYFUNCTION("AI(""Fill an appropriate value for this cell based on the table context"")"),"luxurious, lavish, opulent")</f>
        <v>luxurious, lavish, opulent</v>
      </c>
      <c r="D633" s="5" t="str">
        <f ca="1">IFERROR(__xludf.DUMMYFUNCTION("AI(""Fill an appropriate value for this cell based on the table context"")"),"The guests enjoyed a sumptuous feast at the luxury resort.")</f>
        <v>The guests enjoyed a sumptuous feast at the luxury resort.</v>
      </c>
      <c r="E633" s="5"/>
      <c r="F633" s="5"/>
      <c r="G633" s="5"/>
      <c r="H633" s="5"/>
      <c r="I633" s="5"/>
      <c r="J633" s="5"/>
      <c r="K633" s="5"/>
      <c r="L633" s="5"/>
      <c r="M633" s="5"/>
      <c r="N633" s="5"/>
      <c r="O633" s="5"/>
      <c r="P633" s="5"/>
      <c r="Q633" s="5"/>
      <c r="R633" s="5"/>
      <c r="S633" s="5"/>
      <c r="T633" s="5"/>
      <c r="U633" s="5"/>
      <c r="V633" s="5"/>
      <c r="W633" s="5"/>
      <c r="X633" s="5"/>
      <c r="Y633" s="5"/>
      <c r="Z633" s="5"/>
    </row>
    <row r="634" spans="1:26" ht="12.5" x14ac:dyDescent="0.25">
      <c r="A634" s="5" t="s">
        <v>1096</v>
      </c>
      <c r="B634" s="5" t="str">
        <f ca="1">IFERROR(__xludf.DUMMYFUNCTION("AI(""Fill an appropriate value for this cell based on the table context"")"),"firmly established in a habit or practice")</f>
        <v>firmly established in a habit or practice</v>
      </c>
      <c r="C634" s="5" t="str">
        <f ca="1">IFERROR(__xludf.DUMMYFUNCTION("AI(""Fill an appropriate value for this cell based on the table context"")"),"habitual, chronic, deep-seated")</f>
        <v>habitual, chronic, deep-seated</v>
      </c>
      <c r="D634" s="5" t="str">
        <f ca="1">IFERROR(__xludf.DUMMYFUNCTION("AI(""Fill an appropriate value for this cell based on the table context"")"),"He is an inveterate gambler who spends every weekend at the casino.")</f>
        <v>He is an inveterate gambler who spends every weekend at the casino.</v>
      </c>
      <c r="E634" s="5"/>
      <c r="F634" s="5"/>
      <c r="G634" s="5"/>
      <c r="H634" s="5"/>
      <c r="I634" s="5"/>
      <c r="J634" s="5"/>
      <c r="K634" s="5"/>
      <c r="L634" s="5"/>
      <c r="M634" s="5"/>
      <c r="N634" s="5"/>
      <c r="O634" s="5"/>
      <c r="P634" s="5"/>
      <c r="Q634" s="5"/>
      <c r="R634" s="5"/>
      <c r="S634" s="5"/>
      <c r="T634" s="5"/>
      <c r="U634" s="5"/>
      <c r="V634" s="5"/>
      <c r="W634" s="5"/>
      <c r="X634" s="5"/>
      <c r="Y634" s="5"/>
      <c r="Z634" s="5"/>
    </row>
    <row r="635" spans="1:26" ht="12.5" x14ac:dyDescent="0.25">
      <c r="A635" s="5" t="s">
        <v>1097</v>
      </c>
      <c r="B635" s="5" t="str">
        <f ca="1">IFERROR(__xludf.DUMMYFUNCTION("AI(""Fill an appropriate value for this cell based on the table context"")"),"having or showing too great a readiness to believe things")</f>
        <v>having or showing too great a readiness to believe things</v>
      </c>
      <c r="C635" s="5" t="str">
        <f ca="1">IFERROR(__xludf.DUMMYFUNCTION("AI(""Fill an appropriate value for this cell based on the table context"")"),"gullible, naive, trusting")</f>
        <v>gullible, naive, trusting</v>
      </c>
      <c r="D635" s="5" t="str">
        <f ca="1">IFERROR(__xludf.DUMMYFUNCTION("AI(""Fill an appropriate value for this cell based on the table context"")"),"The credulous customer easily fell for the salesman's exaggerated claims.")</f>
        <v>The credulous customer easily fell for the salesman's exaggerated claims.</v>
      </c>
      <c r="E635" s="5"/>
      <c r="F635" s="5"/>
      <c r="G635" s="5"/>
      <c r="H635" s="5"/>
      <c r="I635" s="5"/>
      <c r="J635" s="5"/>
      <c r="K635" s="5"/>
      <c r="L635" s="5"/>
      <c r="M635" s="5"/>
      <c r="N635" s="5"/>
      <c r="O635" s="5"/>
      <c r="P635" s="5"/>
      <c r="Q635" s="5"/>
      <c r="R635" s="5"/>
      <c r="S635" s="5"/>
      <c r="T635" s="5"/>
      <c r="U635" s="5"/>
      <c r="V635" s="5"/>
      <c r="W635" s="5"/>
      <c r="X635" s="5"/>
      <c r="Y635" s="5"/>
      <c r="Z635" s="5"/>
    </row>
    <row r="636" spans="1:26" ht="12.5" x14ac:dyDescent="0.25">
      <c r="A636" s="5" t="s">
        <v>1098</v>
      </c>
      <c r="B636" s="5" t="str">
        <f ca="1">IFERROR(__xludf.DUMMYFUNCTION("AI(""Fill an appropriate value for this cell based on the table context"")"),"mental calmness, composure, and evenness of temper")</f>
        <v>mental calmness, composure, and evenness of temper</v>
      </c>
      <c r="C636" s="5" t="str">
        <f ca="1">IFERROR(__xludf.DUMMYFUNCTION("AI(""Fill an appropriate value for this cell based on the table context"")"),"composure, calmness, poise")</f>
        <v>composure, calmness, poise</v>
      </c>
      <c r="D636" s="5" t="str">
        <f ca="1">IFERROR(__xludf.DUMMYFUNCTION("AI(""Fill an appropriate value for this cell based on the table context"")"),"She handled the crisis with remarkable equanimity and calm leadership.")</f>
        <v>She handled the crisis with remarkable equanimity and calm leadership.</v>
      </c>
      <c r="E636" s="5"/>
      <c r="F636" s="5"/>
      <c r="G636" s="5"/>
      <c r="H636" s="5"/>
      <c r="I636" s="5"/>
      <c r="J636" s="5"/>
      <c r="K636" s="5"/>
      <c r="L636" s="5"/>
      <c r="M636" s="5"/>
      <c r="N636" s="5"/>
      <c r="O636" s="5"/>
      <c r="P636" s="5"/>
      <c r="Q636" s="5"/>
      <c r="R636" s="5"/>
      <c r="S636" s="5"/>
      <c r="T636" s="5"/>
      <c r="U636" s="5"/>
      <c r="V636" s="5"/>
      <c r="W636" s="5"/>
      <c r="X636" s="5"/>
      <c r="Y636" s="5"/>
      <c r="Z636" s="5"/>
    </row>
    <row r="637" spans="1:26" ht="12.5" x14ac:dyDescent="0.25">
      <c r="A637" s="5" t="s">
        <v>1099</v>
      </c>
      <c r="B637" s="5" t="str">
        <f ca="1">IFERROR(__xludf.DUMMYFUNCTION("AI(""Fill an appropriate value for this cell based on the table context"")"),"relating to the physical body as opposed to the mind")</f>
        <v>relating to the physical body as opposed to the mind</v>
      </c>
      <c r="C637" s="5" t="str">
        <f ca="1">IFERROR(__xludf.DUMMYFUNCTION("AI(""Fill an appropriate value for this cell based on the table context"")"),"bodily, physical, corporal")</f>
        <v>bodily, physical, corporal</v>
      </c>
      <c r="D637" s="5" t="str">
        <f ca="1">IFERROR(__xludf.DUMMYFUNCTION("AI(""Fill an appropriate value for this cell based on the table context"")"),"The patient suffered from somatic symptoms caused by chronic stress.")</f>
        <v>The patient suffered from somatic symptoms caused by chronic stress.</v>
      </c>
      <c r="E637" s="5"/>
      <c r="F637" s="5"/>
      <c r="G637" s="5"/>
      <c r="H637" s="5"/>
      <c r="I637" s="5"/>
      <c r="J637" s="5"/>
      <c r="K637" s="5"/>
      <c r="L637" s="5"/>
      <c r="M637" s="5"/>
      <c r="N637" s="5"/>
      <c r="O637" s="5"/>
      <c r="P637" s="5"/>
      <c r="Q637" s="5"/>
      <c r="R637" s="5"/>
      <c r="S637" s="5"/>
      <c r="T637" s="5"/>
      <c r="U637" s="5"/>
      <c r="V637" s="5"/>
      <c r="W637" s="5"/>
      <c r="X637" s="5"/>
      <c r="Y637" s="5"/>
      <c r="Z637" s="5"/>
    </row>
    <row r="638" spans="1:26" ht="25" x14ac:dyDescent="0.25">
      <c r="A638" s="5" t="s">
        <v>1100</v>
      </c>
      <c r="B638" s="5" t="str">
        <f ca="1">IFERROR(__xludf.DUMMYFUNCTION("AI(""Fill an appropriate value for this cell based on the table context"")"),"self-evident or obvious without proof")</f>
        <v>self-evident or obvious without proof</v>
      </c>
      <c r="C638" s="5" t="str">
        <f ca="1">IFERROR(__xludf.DUMMYFUNCTION("AI(""Fill an appropriate value for this cell based on the table context"")"),"self-evident, unquestionable, undeniable")</f>
        <v>self-evident, unquestionable, undeniable</v>
      </c>
      <c r="D638" s="5" t="str">
        <f ca="1">IFERROR(__xludf.DUMMYFUNCTION("AI(""Fill an appropriate value for this cell based on the table context"")"),"It is axiomatic that practice leads to improvement in any skill.")</f>
        <v>It is axiomatic that practice leads to improvement in any skill.</v>
      </c>
      <c r="E638" s="5"/>
      <c r="F638" s="5"/>
      <c r="G638" s="5"/>
      <c r="H638" s="5"/>
      <c r="I638" s="5"/>
      <c r="J638" s="5"/>
      <c r="K638" s="5"/>
      <c r="L638" s="5"/>
      <c r="M638" s="5"/>
      <c r="N638" s="5"/>
      <c r="O638" s="5"/>
      <c r="P638" s="5"/>
      <c r="Q638" s="5"/>
      <c r="R638" s="5"/>
      <c r="S638" s="5"/>
      <c r="T638" s="5"/>
      <c r="U638" s="5"/>
      <c r="V638" s="5"/>
      <c r="W638" s="5"/>
      <c r="X638" s="5"/>
      <c r="Y638" s="5"/>
      <c r="Z638" s="5"/>
    </row>
    <row r="639" spans="1:26" ht="12.5" x14ac:dyDescent="0.25">
      <c r="A639" s="5" t="s">
        <v>1101</v>
      </c>
      <c r="B639" s="5" t="str">
        <f ca="1">IFERROR(__xludf.DUMMYFUNCTION("AI(""Fill an appropriate value for this cell based on the table context"")"),"clearly proven or logically certain beyond doubt")</f>
        <v>clearly proven or logically certain beyond doubt</v>
      </c>
      <c r="C639" s="5" t="str">
        <f ca="1">IFERROR(__xludf.DUMMYFUNCTION("AI(""Fill an appropriate value for this cell based on the table context"")"),"indisputable, conclusive, certain")</f>
        <v>indisputable, conclusive, certain</v>
      </c>
      <c r="D639" s="5" t="str">
        <f ca="1">IFERROR(__xludf.DUMMYFUNCTION("AI(""Fill an appropriate value for this cell based on the table context"")"),"The scientist provided apodictic proof to support her groundbreaking theory.")</f>
        <v>The scientist provided apodictic proof to support her groundbreaking theory.</v>
      </c>
      <c r="E639" s="5"/>
      <c r="F639" s="5"/>
      <c r="G639" s="5"/>
      <c r="H639" s="5"/>
      <c r="I639" s="5"/>
      <c r="J639" s="5"/>
      <c r="K639" s="5"/>
      <c r="L639" s="5"/>
      <c r="M639" s="5"/>
      <c r="N639" s="5"/>
      <c r="O639" s="5"/>
      <c r="P639" s="5"/>
      <c r="Q639" s="5"/>
      <c r="R639" s="5"/>
      <c r="S639" s="5"/>
      <c r="T639" s="5"/>
      <c r="U639" s="5"/>
      <c r="V639" s="5"/>
      <c r="W639" s="5"/>
      <c r="X639" s="5"/>
      <c r="Y639" s="5"/>
      <c r="Z639" s="5"/>
    </row>
    <row r="640" spans="1:26" ht="12.5" x14ac:dyDescent="0.25">
      <c r="A640" s="5" t="s">
        <v>1102</v>
      </c>
      <c r="B640" s="5" t="str">
        <f ca="1">IFERROR(__xludf.DUMMYFUNCTION("AI(""Fill an appropriate value for this cell based on the table context"")"),"childishly sulky or bad-tempered")</f>
        <v>childishly sulky or bad-tempered</v>
      </c>
      <c r="C640" s="5" t="str">
        <f ca="1">IFERROR(__xludf.DUMMYFUNCTION("AI(""Fill an appropriate value for this cell based on the table context"")"),"irritable, peevish, sulky")</f>
        <v>irritable, peevish, sulky</v>
      </c>
      <c r="D640" s="5" t="str">
        <f ca="1">IFERROR(__xludf.DUMMYFUNCTION("AI(""Fill an appropriate value for this cell based on the table context"")"),"The petulant child stomped his feet when he was not allowed to have dessert.")</f>
        <v>The petulant child stomped his feet when he was not allowed to have dessert.</v>
      </c>
      <c r="E640" s="5"/>
      <c r="F640" s="5"/>
      <c r="G640" s="5"/>
      <c r="H640" s="5"/>
      <c r="I640" s="5"/>
      <c r="J640" s="5"/>
      <c r="K640" s="5"/>
      <c r="L640" s="5"/>
      <c r="M640" s="5"/>
      <c r="N640" s="5"/>
      <c r="O640" s="5"/>
      <c r="P640" s="5"/>
      <c r="Q640" s="5"/>
      <c r="R640" s="5"/>
      <c r="S640" s="5"/>
      <c r="T640" s="5"/>
      <c r="U640" s="5"/>
      <c r="V640" s="5"/>
      <c r="W640" s="5"/>
      <c r="X640" s="5"/>
      <c r="Y640" s="5"/>
      <c r="Z640" s="5"/>
    </row>
    <row r="641" spans="1:26" ht="12.5" x14ac:dyDescent="0.25">
      <c r="A641" s="5" t="s">
        <v>1103</v>
      </c>
      <c r="B641" s="5" t="str">
        <f ca="1">IFERROR(__xludf.DUMMYFUNCTION("AI(""Fill an appropriate value for this cell based on the table context"")"),"expressing sorrow or mournful")</f>
        <v>expressing sorrow or mournful</v>
      </c>
      <c r="C641" s="5" t="str">
        <f ca="1">IFERROR(__xludf.DUMMYFUNCTION("AI(""Fill an appropriate value for this cell based on the table context"")"),"mournful, sorrowful, gloomy")</f>
        <v>mournful, sorrowful, gloomy</v>
      </c>
      <c r="D641" s="5" t="str">
        <f ca="1">IFERROR(__xludf.DUMMYFUNCTION("AI(""Fill an appropriate value for this cell based on the table context"")"),"The hound let out a doleful howl as the family drove away.")</f>
        <v>The hound let out a doleful howl as the family drove away.</v>
      </c>
      <c r="E641" s="5"/>
      <c r="F641" s="5"/>
      <c r="G641" s="5"/>
      <c r="H641" s="5"/>
      <c r="I641" s="5"/>
      <c r="J641" s="5"/>
      <c r="K641" s="5"/>
      <c r="L641" s="5"/>
      <c r="M641" s="5"/>
      <c r="N641" s="5"/>
      <c r="O641" s="5"/>
      <c r="P641" s="5"/>
      <c r="Q641" s="5"/>
      <c r="R641" s="5"/>
      <c r="S641" s="5"/>
      <c r="T641" s="5"/>
      <c r="U641" s="5"/>
      <c r="V641" s="5"/>
      <c r="W641" s="5"/>
      <c r="X641" s="5"/>
      <c r="Y641" s="5"/>
      <c r="Z641" s="5"/>
    </row>
    <row r="642" spans="1:26" ht="12.5" x14ac:dyDescent="0.25">
      <c r="A642" s="5" t="s">
        <v>1104</v>
      </c>
      <c r="B642" s="5" t="str">
        <f ca="1">IFERROR(__xludf.DUMMYFUNCTION("AI(""Fill an appropriate value for this cell based on the table context"")"),"playful, witty, or mischievous")</f>
        <v>playful, witty, or mischievous</v>
      </c>
      <c r="C642" s="5" t="str">
        <f ca="1">IFERROR(__xludf.DUMMYFUNCTION("AI(""Fill an appropriate value for this cell based on the table context"")"),"playful, mischievous, roguish")</f>
        <v>playful, mischievous, roguish</v>
      </c>
      <c r="D642" s="5" t="str">
        <f ca="1">IFERROR(__xludf.DUMMYFUNCTION("AI(""Fill an appropriate value for this cell based on the table context"")"),"His waggish comments brought a lighthearted mood to the meeting.")</f>
        <v>His waggish comments brought a lighthearted mood to the meeting.</v>
      </c>
      <c r="E642" s="5"/>
      <c r="F642" s="5"/>
      <c r="G642" s="5"/>
      <c r="H642" s="5"/>
      <c r="I642" s="5"/>
      <c r="J642" s="5"/>
      <c r="K642" s="5"/>
      <c r="L642" s="5"/>
      <c r="M642" s="5"/>
      <c r="N642" s="5"/>
      <c r="O642" s="5"/>
      <c r="P642" s="5"/>
      <c r="Q642" s="5"/>
      <c r="R642" s="5"/>
      <c r="S642" s="5"/>
      <c r="T642" s="5"/>
      <c r="U642" s="5"/>
      <c r="V642" s="5"/>
      <c r="W642" s="5"/>
      <c r="X642" s="5"/>
      <c r="Y642" s="5"/>
      <c r="Z642" s="5"/>
    </row>
    <row r="643" spans="1:26" ht="25" x14ac:dyDescent="0.25">
      <c r="A643" s="5" t="s">
        <v>1105</v>
      </c>
      <c r="B643" s="5" t="str">
        <f ca="1">IFERROR(__xludf.DUMMYFUNCTION("AI(""Fill an appropriate value for this cell based on the table context"")"),"arrogant or overbearing behavior")</f>
        <v>arrogant or overbearing behavior</v>
      </c>
      <c r="C643" s="5" t="str">
        <f ca="1">IFERROR(__xludf.DUMMYFUNCTION("AI(""Fill an appropriate value for this cell based on the table context"")"),"arrogance, domineeringness, haughtiness")</f>
        <v>arrogance, domineeringness, haughtiness</v>
      </c>
      <c r="D643" s="5" t="str">
        <f ca="1">IFERROR(__xludf.DUMMYFUNCTION("AI(""Fill an appropriate value for this cell based on the table context"")"),"The manager's imperiousness made it difficult for staff to share ideas.")</f>
        <v>The manager's imperiousness made it difficult for staff to share ideas.</v>
      </c>
      <c r="E643" s="5"/>
      <c r="F643" s="5"/>
      <c r="G643" s="5"/>
      <c r="H643" s="5"/>
      <c r="I643" s="5"/>
      <c r="J643" s="5"/>
      <c r="K643" s="5"/>
      <c r="L643" s="5"/>
      <c r="M643" s="5"/>
      <c r="N643" s="5"/>
      <c r="O643" s="5"/>
      <c r="P643" s="5"/>
      <c r="Q643" s="5"/>
      <c r="R643" s="5"/>
      <c r="S643" s="5"/>
      <c r="T643" s="5"/>
      <c r="U643" s="5"/>
      <c r="V643" s="5"/>
      <c r="W643" s="5"/>
      <c r="X643" s="5"/>
      <c r="Y643" s="5"/>
      <c r="Z643" s="5"/>
    </row>
    <row r="644" spans="1:26" ht="12.5" x14ac:dyDescent="0.25">
      <c r="A644" s="5" t="s">
        <v>1106</v>
      </c>
      <c r="B644" s="5" t="str">
        <f ca="1">IFERROR(__xludf.DUMMYFUNCTION("AI(""Fill an appropriate value for this cell based on the table context"")"),"thick respiratory mucus or unemotional calmness")</f>
        <v>thick respiratory mucus or unemotional calmness</v>
      </c>
      <c r="C644" s="5" t="str">
        <f ca="1">IFERROR(__xludf.DUMMYFUNCTION("AI(""Fill an appropriate value for this cell based on the table context"")"),"composure, equanimity, calmness")</f>
        <v>composure, equanimity, calmness</v>
      </c>
      <c r="D644" s="5" t="str">
        <f ca="1">IFERROR(__xludf.DUMMYFUNCTION("AI(""Fill an appropriate value for this cell based on the table context"")"),"She handled the sudden emergency with extraordinary phlegm.")</f>
        <v>She handled the sudden emergency with extraordinary phlegm.</v>
      </c>
      <c r="E644" s="5"/>
      <c r="F644" s="5"/>
      <c r="G644" s="5"/>
      <c r="H644" s="5"/>
      <c r="I644" s="5"/>
      <c r="J644" s="5"/>
      <c r="K644" s="5"/>
      <c r="L644" s="5"/>
      <c r="M644" s="5"/>
      <c r="N644" s="5"/>
      <c r="O644" s="5"/>
      <c r="P644" s="5"/>
      <c r="Q644" s="5"/>
      <c r="R644" s="5"/>
      <c r="S644" s="5"/>
      <c r="T644" s="5"/>
      <c r="U644" s="5"/>
      <c r="V644" s="5"/>
      <c r="W644" s="5"/>
      <c r="X644" s="5"/>
      <c r="Y644" s="5"/>
      <c r="Z644" s="5"/>
    </row>
    <row r="645" spans="1:26" ht="12.5" x14ac:dyDescent="0.25">
      <c r="A645" s="5" t="s">
        <v>1107</v>
      </c>
      <c r="B645" s="5" t="str">
        <f ca="1">IFERROR(__xludf.DUMMYFUNCTION("AI(""Fill an appropriate value for this cell based on the table context"")"),"a strong written or spoken attack")</f>
        <v>a strong written or spoken attack</v>
      </c>
      <c r="C645" s="5" t="str">
        <f ca="1">IFERROR(__xludf.DUMMYFUNCTION("AI(""Fill an appropriate value for this cell based on the table context"")"),"diatribe, tirade, attack")</f>
        <v>diatribe, tirade, attack</v>
      </c>
      <c r="D645" s="5" t="str">
        <f ca="1">IFERROR(__xludf.DUMMYFUNCTION("AI(""Fill an appropriate value for this cell based on the table context"")"),"The politician launched a scathing broadside against his rival during the debate.")</f>
        <v>The politician launched a scathing broadside against his rival during the debate.</v>
      </c>
      <c r="E645" s="5"/>
      <c r="F645" s="5"/>
      <c r="G645" s="5"/>
      <c r="H645" s="5"/>
      <c r="I645" s="5"/>
      <c r="J645" s="5"/>
      <c r="K645" s="5"/>
      <c r="L645" s="5"/>
      <c r="M645" s="5"/>
      <c r="N645" s="5"/>
      <c r="O645" s="5"/>
      <c r="P645" s="5"/>
      <c r="Q645" s="5"/>
      <c r="R645" s="5"/>
      <c r="S645" s="5"/>
      <c r="T645" s="5"/>
      <c r="U645" s="5"/>
      <c r="V645" s="5"/>
      <c r="W645" s="5"/>
      <c r="X645" s="5"/>
      <c r="Y645" s="5"/>
      <c r="Z645" s="5"/>
    </row>
    <row r="646" spans="1:26" ht="12.5" x14ac:dyDescent="0.25">
      <c r="A646" s="5" t="s">
        <v>1108</v>
      </c>
      <c r="B646" s="5" t="str">
        <f ca="1">IFERROR(__xludf.DUMMYFUNCTION("AI(""Fill an appropriate value for this cell based on the table context"")"),"urge or command someone solemnly")</f>
        <v>urge or command someone solemnly</v>
      </c>
      <c r="C646" s="5" t="str">
        <f ca="1">IFERROR(__xludf.DUMMYFUNCTION("AI(""Fill an appropriate value for this cell based on the table context"")"),"implore, beseech, entreat")</f>
        <v>implore, beseech, entreat</v>
      </c>
      <c r="D646" s="5" t="str">
        <f ca="1">IFERROR(__xludf.DUMMYFUNCTION("AI(""Fill an appropriate value for this cell based on the table context"")"),"The judge began to adjure the witness to tell the complete truth.")</f>
        <v>The judge began to adjure the witness to tell the complete truth.</v>
      </c>
      <c r="E646" s="5"/>
      <c r="F646" s="5"/>
      <c r="G646" s="5"/>
      <c r="H646" s="5"/>
      <c r="I646" s="5"/>
      <c r="J646" s="5"/>
      <c r="K646" s="5"/>
      <c r="L646" s="5"/>
      <c r="M646" s="5"/>
      <c r="N646" s="5"/>
      <c r="O646" s="5"/>
      <c r="P646" s="5"/>
      <c r="Q646" s="5"/>
      <c r="R646" s="5"/>
      <c r="S646" s="5"/>
      <c r="T646" s="5"/>
      <c r="U646" s="5"/>
      <c r="V646" s="5"/>
      <c r="W646" s="5"/>
      <c r="X646" s="5"/>
      <c r="Y646" s="5"/>
      <c r="Z646" s="5"/>
    </row>
    <row r="647" spans="1:26" ht="12.5" x14ac:dyDescent="0.25">
      <c r="A647" s="5" t="s">
        <v>1109</v>
      </c>
      <c r="B647" s="5" t="str">
        <f ca="1">IFERROR(__xludf.DUMMYFUNCTION("AI(""Fill an appropriate value for this cell based on the table context"")"),"strongly encourage or persuade someone to do something")</f>
        <v>strongly encourage or persuade someone to do something</v>
      </c>
      <c r="C647" s="5" t="str">
        <f ca="1">IFERROR(__xludf.DUMMYFUNCTION("AI(""Fill an appropriate value for this cell based on the table context"")"),"urge, encourage, press")</f>
        <v>urge, encourage, press</v>
      </c>
      <c r="D647" s="5" t="str">
        <f ca="1">IFERROR(__xludf.DUMMYFUNCTION("AI(""Fill an appropriate value for this cell based on the table context"")"),"The coach tried to exhort his players to give their best effort.")</f>
        <v>The coach tried to exhort his players to give their best effort.</v>
      </c>
      <c r="E647" s="5"/>
      <c r="F647" s="5"/>
      <c r="G647" s="5"/>
      <c r="H647" s="5"/>
      <c r="I647" s="5"/>
      <c r="J647" s="5"/>
      <c r="K647" s="5"/>
      <c r="L647" s="5"/>
      <c r="M647" s="5"/>
      <c r="N647" s="5"/>
      <c r="O647" s="5"/>
      <c r="P647" s="5"/>
      <c r="Q647" s="5"/>
      <c r="R647" s="5"/>
      <c r="S647" s="5"/>
      <c r="T647" s="5"/>
      <c r="U647" s="5"/>
      <c r="V647" s="5"/>
      <c r="W647" s="5"/>
      <c r="X647" s="5"/>
      <c r="Y647" s="5"/>
      <c r="Z647" s="5"/>
    </row>
    <row r="648" spans="1:26" ht="12.5" x14ac:dyDescent="0.25">
      <c r="A648" s="5" t="s">
        <v>1110</v>
      </c>
      <c r="B648" s="5" t="str">
        <f ca="1">IFERROR(__xludf.DUMMYFUNCTION("AI(""Fill an appropriate value for this cell based on the table context"")"),"impossible to deny or disprove; indisputable")</f>
        <v>impossible to deny or disprove; indisputable</v>
      </c>
      <c r="C648" s="5" t="str">
        <f ca="1">IFERROR(__xludf.DUMMYFUNCTION("AI(""Fill an appropriate value for this cell based on the table context"")"),"indisputable, undeniable, irrefutable")</f>
        <v>indisputable, undeniable, irrefutable</v>
      </c>
      <c r="D648" s="5" t="str">
        <f ca="1">IFERROR(__xludf.DUMMYFUNCTION("AI(""Fill an appropriate value for this cell based on the table context"")"),"The DNA evidence provided incontrovertible proof of the suspect's innocence.")</f>
        <v>The DNA evidence provided incontrovertible proof of the suspect's innocence.</v>
      </c>
      <c r="E648" s="5"/>
      <c r="F648" s="5"/>
      <c r="G648" s="5"/>
      <c r="H648" s="5"/>
      <c r="I648" s="5"/>
      <c r="J648" s="5"/>
      <c r="K648" s="5"/>
      <c r="L648" s="5"/>
      <c r="M648" s="5"/>
      <c r="N648" s="5"/>
      <c r="O648" s="5"/>
      <c r="P648" s="5"/>
      <c r="Q648" s="5"/>
      <c r="R648" s="5"/>
      <c r="S648" s="5"/>
      <c r="T648" s="5"/>
      <c r="U648" s="5"/>
      <c r="V648" s="5"/>
      <c r="W648" s="5"/>
      <c r="X648" s="5"/>
      <c r="Y648" s="5"/>
      <c r="Z648" s="5"/>
    </row>
    <row r="649" spans="1:26" ht="12.5" x14ac:dyDescent="0.25">
      <c r="A649" s="5" t="s">
        <v>1111</v>
      </c>
      <c r="B649" s="5" t="str">
        <f ca="1">IFERROR(__xludf.DUMMYFUNCTION("AI(""Fill an appropriate value for this cell based on the table context"")"),"raising petty or trivial objections")</f>
        <v>raising petty or trivial objections</v>
      </c>
      <c r="C649" s="5" t="str">
        <f ca="1">IFERROR(__xludf.DUMMYFUNCTION("AI(""Fill an appropriate value for this cell based on the table context"")"),"nitpicking, quibbling, faultfinding")</f>
        <v>nitpicking, quibbling, faultfinding</v>
      </c>
      <c r="D649" s="5" t="str">
        <f ca="1">IFERROR(__xludf.DUMMYFUNCTION("AI(""Fill an appropriate value for this cell based on the table context"")"),"Instead of focusing on the main issues, he spent the entire meeting caviling over minor details.")</f>
        <v>Instead of focusing on the main issues, he spent the entire meeting caviling over minor details.</v>
      </c>
      <c r="E649" s="5"/>
      <c r="F649" s="5"/>
      <c r="G649" s="5"/>
      <c r="H649" s="5"/>
      <c r="I649" s="5"/>
      <c r="J649" s="5"/>
      <c r="K649" s="5"/>
      <c r="L649" s="5"/>
      <c r="M649" s="5"/>
      <c r="N649" s="5"/>
      <c r="O649" s="5"/>
      <c r="P649" s="5"/>
      <c r="Q649" s="5"/>
      <c r="R649" s="5"/>
      <c r="S649" s="5"/>
      <c r="T649" s="5"/>
      <c r="U649" s="5"/>
      <c r="V649" s="5"/>
      <c r="W649" s="5"/>
      <c r="X649" s="5"/>
      <c r="Y649" s="5"/>
      <c r="Z649" s="5"/>
    </row>
    <row r="650" spans="1:26" ht="12.5" x14ac:dyDescent="0.25">
      <c r="A650" s="5" t="s">
        <v>1112</v>
      </c>
      <c r="B650" s="5" t="str">
        <f ca="1">IFERROR(__xludf.DUMMYFUNCTION("AI(""Fill an appropriate value for this cell based on the table context"")"),"continually complaining or finding fault over trivial matters")</f>
        <v>continually complaining or finding fault over trivial matters</v>
      </c>
      <c r="C650" s="5" t="str">
        <f ca="1">IFERROR(__xludf.DUMMYFUNCTION("AI(""Fill an appropriate value for this cell based on the table context"")"),"hypercritical, nitpicking, faultfinding")</f>
        <v>hypercritical, nitpicking, faultfinding</v>
      </c>
      <c r="D650" s="5" t="str">
        <f ca="1">IFERROR(__xludf.DUMMYFUNCTION("AI(""Fill an appropriate value for this cell based on the table context"")"),"Her constant carping about the cold weather began to annoy her coworkers.")</f>
        <v>Her constant carping about the cold weather began to annoy her coworkers.</v>
      </c>
      <c r="E650" s="5"/>
      <c r="F650" s="5"/>
      <c r="G650" s="5"/>
      <c r="H650" s="5"/>
      <c r="I650" s="5"/>
      <c r="J650" s="5"/>
      <c r="K650" s="5"/>
      <c r="L650" s="5"/>
      <c r="M650" s="5"/>
      <c r="N650" s="5"/>
      <c r="O650" s="5"/>
      <c r="P650" s="5"/>
      <c r="Q650" s="5"/>
      <c r="R650" s="5"/>
      <c r="S650" s="5"/>
      <c r="T650" s="5"/>
      <c r="U650" s="5"/>
      <c r="V650" s="5"/>
      <c r="W650" s="5"/>
      <c r="X650" s="5"/>
      <c r="Y650" s="5"/>
      <c r="Z650" s="5"/>
    </row>
    <row r="651" spans="1:26" ht="12.5" x14ac:dyDescent="0.25">
      <c r="A651" s="5" t="s">
        <v>1113</v>
      </c>
      <c r="B651" s="5" t="str">
        <f ca="1">IFERROR(__xludf.DUMMYFUNCTION("AI(""Fill an appropriate value for this cell based on the table context"")"),"stripped of covering or made bare")</f>
        <v>stripped of covering or made bare</v>
      </c>
      <c r="C651" s="5" t="str">
        <f ca="1">IFERROR(__xludf.DUMMYFUNCTION("AI(""Fill an appropriate value for this cell based on the table context"")"),"stripped, bared, uncovered")</f>
        <v>stripped, bared, uncovered</v>
      </c>
      <c r="D651" s="5" t="str">
        <f ca="1">IFERROR(__xludf.DUMMYFUNCTION("AI(""Fill an appropriate value for this cell based on the table context"")"),"The forest was completely denuded of trees after the severe wildfire.")</f>
        <v>The forest was completely denuded of trees after the severe wildfire.</v>
      </c>
      <c r="E651" s="5"/>
      <c r="F651" s="5"/>
      <c r="G651" s="5"/>
      <c r="H651" s="5"/>
      <c r="I651" s="5"/>
      <c r="J651" s="5"/>
      <c r="K651" s="5"/>
      <c r="L651" s="5"/>
      <c r="M651" s="5"/>
      <c r="N651" s="5"/>
      <c r="O651" s="5"/>
      <c r="P651" s="5"/>
      <c r="Q651" s="5"/>
      <c r="R651" s="5"/>
      <c r="S651" s="5"/>
      <c r="T651" s="5"/>
      <c r="U651" s="5"/>
      <c r="V651" s="5"/>
      <c r="W651" s="5"/>
      <c r="X651" s="5"/>
      <c r="Y651" s="5"/>
      <c r="Z651" s="5"/>
    </row>
    <row r="652" spans="1:26" ht="12.5" x14ac:dyDescent="0.25">
      <c r="A652" s="5" t="s">
        <v>1114</v>
      </c>
      <c r="B652" s="5" t="str">
        <f ca="1">IFERROR(__xludf.DUMMYFUNCTION("AI(""Fill an appropriate value for this cell based on the table context"")"),"explain or discuss something in excessive detail")</f>
        <v>explain or discuss something in excessive detail</v>
      </c>
      <c r="C652" s="5" t="str">
        <f ca="1">IFERROR(__xludf.DUMMYFUNCTION("AI(""Fill an appropriate value for this cell based on the table context"")"),"dwell on, overelaborate, labor")</f>
        <v>dwell on, overelaborate, labor</v>
      </c>
      <c r="D652" s="5" t="str">
        <f ca="1">IFERROR(__xludf.DUMMYFUNCTION("AI(""Fill an appropriate value for this cell based on the table context"")"),"He did not want to belabor the point, as everyone already agreed.")</f>
        <v>He did not want to belabor the point, as everyone already agreed.</v>
      </c>
      <c r="E652" s="5"/>
      <c r="F652" s="5"/>
      <c r="G652" s="5"/>
      <c r="H652" s="5"/>
      <c r="I652" s="5"/>
      <c r="J652" s="5"/>
      <c r="K652" s="5"/>
      <c r="L652" s="5"/>
      <c r="M652" s="5"/>
      <c r="N652" s="5"/>
      <c r="O652" s="5"/>
      <c r="P652" s="5"/>
      <c r="Q652" s="5"/>
      <c r="R652" s="5"/>
      <c r="S652" s="5"/>
      <c r="T652" s="5"/>
      <c r="U652" s="5"/>
      <c r="V652" s="5"/>
      <c r="W652" s="5"/>
      <c r="X652" s="5"/>
      <c r="Y652" s="5"/>
      <c r="Z652" s="5"/>
    </row>
    <row r="653" spans="1:26" ht="12.5" x14ac:dyDescent="0.25">
      <c r="A653" s="5" t="s">
        <v>1115</v>
      </c>
      <c r="B653" s="5" t="str">
        <f ca="1">IFERROR(__xludf.DUMMYFUNCTION("AI(""Fill an appropriate value for this cell based on the table context"")"),"sounding sad and mournful")</f>
        <v>sounding sad and mournful</v>
      </c>
      <c r="C653" s="5" t="str">
        <f ca="1">IFERROR(__xludf.DUMMYFUNCTION("AI(""Fill an appropriate value for this cell based on the table context"")"),"mournful, doleful, melancholy")</f>
        <v>mournful, doleful, melancholy</v>
      </c>
      <c r="D653" s="5" t="str">
        <f ca="1">IFERROR(__xludf.DUMMYFUNCTION("AI(""Fill an appropriate value for this cell based on the table context"")"),"The dog let out a plaintive whine when its owner left the house.")</f>
        <v>The dog let out a plaintive whine when its owner left the house.</v>
      </c>
      <c r="E653" s="5"/>
      <c r="F653" s="5"/>
      <c r="G653" s="5"/>
      <c r="H653" s="5"/>
      <c r="I653" s="5"/>
      <c r="J653" s="5"/>
      <c r="K653" s="5"/>
      <c r="L653" s="5"/>
      <c r="M653" s="5"/>
      <c r="N653" s="5"/>
      <c r="O653" s="5"/>
      <c r="P653" s="5"/>
      <c r="Q653" s="5"/>
      <c r="R653" s="5"/>
      <c r="S653" s="5"/>
      <c r="T653" s="5"/>
      <c r="U653" s="5"/>
      <c r="V653" s="5"/>
      <c r="W653" s="5"/>
      <c r="X653" s="5"/>
      <c r="Y653" s="5"/>
      <c r="Z653" s="5"/>
    </row>
    <row r="654" spans="1:26" ht="12.5" x14ac:dyDescent="0.25">
      <c r="A654" s="5" t="s">
        <v>1116</v>
      </c>
      <c r="B654" s="5" t="str">
        <f ca="1">IFERROR(__xludf.DUMMYFUNCTION("AI(""Fill an appropriate value for this cell based on the table context"")"),"secure from violation or destruction")</f>
        <v>secure from violation or destruction</v>
      </c>
      <c r="C654" s="5" t="str">
        <f ca="1">IFERROR(__xludf.DUMMYFUNCTION("AI(""Fill an appropriate value for this cell based on the table context"")"),"sacrosanct, unassailable, sacred")</f>
        <v>sacrosanct, unassailable, sacred</v>
      </c>
      <c r="D654" s="5" t="str">
        <f ca="1">IFERROR(__xludf.DUMMYFUNCTION("AI(""Fill an appropriate value for this cell based on the table context"")"),"The sacred treaty remained inviolable for over a century.")</f>
        <v>The sacred treaty remained inviolable for over a century.</v>
      </c>
      <c r="E654" s="5"/>
      <c r="F654" s="5"/>
      <c r="G654" s="5"/>
      <c r="H654" s="5"/>
      <c r="I654" s="5"/>
      <c r="J654" s="5"/>
      <c r="K654" s="5"/>
      <c r="L654" s="5"/>
      <c r="M654" s="5"/>
      <c r="N654" s="5"/>
      <c r="O654" s="5"/>
      <c r="P654" s="5"/>
      <c r="Q654" s="5"/>
      <c r="R654" s="5"/>
      <c r="S654" s="5"/>
      <c r="T654" s="5"/>
      <c r="U654" s="5"/>
      <c r="V654" s="5"/>
      <c r="W654" s="5"/>
      <c r="X654" s="5"/>
      <c r="Y654" s="5"/>
      <c r="Z654" s="5"/>
    </row>
    <row r="655" spans="1:26" ht="12.5" x14ac:dyDescent="0.25">
      <c r="A655" s="5" t="s">
        <v>1117</v>
      </c>
      <c r="B655" s="5" t="str">
        <f ca="1">IFERROR(__xludf.DUMMYFUNCTION("AI(""Fill an appropriate value for this cell based on the table context"")"),"a severe flood or overwhelming quantity of something")</f>
        <v>a severe flood or overwhelming quantity of something</v>
      </c>
      <c r="C655" s="5" t="str">
        <f ca="1">IFERROR(__xludf.DUMMYFUNCTION("AI(""Fill an appropriate value for this cell based on the table context"")"),"flood, torrent, inundation")</f>
        <v>flood, torrent, inundation</v>
      </c>
      <c r="D655" s="5" t="str">
        <f ca="1">IFERROR(__xludf.DUMMYFUNCTION("AI(""Fill an appropriate value for this cell based on the table context"")"),"A sudden deluge of rain forced the outdoor concert to be canceled.")</f>
        <v>A sudden deluge of rain forced the outdoor concert to be canceled.</v>
      </c>
      <c r="E655" s="5"/>
      <c r="F655" s="5"/>
      <c r="G655" s="5"/>
      <c r="H655" s="5"/>
      <c r="I655" s="5"/>
      <c r="J655" s="5"/>
      <c r="K655" s="5"/>
      <c r="L655" s="5"/>
      <c r="M655" s="5"/>
      <c r="N655" s="5"/>
      <c r="O655" s="5"/>
      <c r="P655" s="5"/>
      <c r="Q655" s="5"/>
      <c r="R655" s="5"/>
      <c r="S655" s="5"/>
      <c r="T655" s="5"/>
      <c r="U655" s="5"/>
      <c r="V655" s="5"/>
      <c r="W655" s="5"/>
      <c r="X655" s="5"/>
      <c r="Y655" s="5"/>
      <c r="Z655" s="5"/>
    </row>
    <row r="656" spans="1:26" ht="12.5" x14ac:dyDescent="0.25">
      <c r="A656" s="5" t="s">
        <v>1118</v>
      </c>
      <c r="B656" s="5" t="str">
        <f ca="1">IFERROR(__xludf.DUMMYFUNCTION("AI(""Fill an appropriate value for this cell based on the table context"")"),"overwhelm with a large amount of something or flood")</f>
        <v>overwhelm with a large amount of something or flood</v>
      </c>
      <c r="C656" s="5" t="str">
        <f ca="1">IFERROR(__xludf.DUMMYFUNCTION("AI(""Fill an appropriate value for this cell based on the table context"")"),"overwhelm, swamp, flood")</f>
        <v>overwhelm, swamp, flood</v>
      </c>
      <c r="D656" s="5" t="str">
        <f ca="1">IFERROR(__xludf.DUMMYFUNCTION("AI(""Fill an appropriate value for this cell based on the table context"")"),"The floodwaters threatened to inundate the small town near the river.")</f>
        <v>The floodwaters threatened to inundate the small town near the river.</v>
      </c>
      <c r="E656" s="5"/>
      <c r="F656" s="5"/>
      <c r="G656" s="5"/>
      <c r="H656" s="5"/>
      <c r="I656" s="5"/>
      <c r="J656" s="5"/>
      <c r="K656" s="5"/>
      <c r="L656" s="5"/>
      <c r="M656" s="5"/>
      <c r="N656" s="5"/>
      <c r="O656" s="5"/>
      <c r="P656" s="5"/>
      <c r="Q656" s="5"/>
      <c r="R656" s="5"/>
      <c r="S656" s="5"/>
      <c r="T656" s="5"/>
      <c r="U656" s="5"/>
      <c r="V656" s="5"/>
      <c r="W656" s="5"/>
      <c r="X656" s="5"/>
      <c r="Y656" s="5"/>
      <c r="Z656" s="5"/>
    </row>
    <row r="657" spans="1:26" ht="12.5" x14ac:dyDescent="0.25">
      <c r="A657" s="5" t="s">
        <v>1119</v>
      </c>
      <c r="B657" s="5" t="str">
        <f ca="1">IFERROR(__xludf.DUMMYFUNCTION("AI(""Fill an appropriate value for this cell based on the table context"")"),"arranged in a series of rings or spirals")</f>
        <v>arranged in a series of rings or spirals</v>
      </c>
      <c r="C657" s="5" t="str">
        <f ca="1">IFERROR(__xludf.DUMMYFUNCTION("AI(""Fill an appropriate value for this cell based on the table context"")"),"wound, twisted, curled")</f>
        <v>wound, twisted, curled</v>
      </c>
      <c r="D657" s="5" t="str">
        <f ca="1">IFERROR(__xludf.DUMMYFUNCTION("AI(""Fill an appropriate value for this cell based on the table context"")"),"The coiled rope sat neatly on the deck of the sailboat.")</f>
        <v>The coiled rope sat neatly on the deck of the sailboat.</v>
      </c>
      <c r="E657" s="5"/>
      <c r="F657" s="5"/>
      <c r="G657" s="5"/>
      <c r="H657" s="5"/>
      <c r="I657" s="5"/>
      <c r="J657" s="5"/>
      <c r="K657" s="5"/>
      <c r="L657" s="5"/>
      <c r="M657" s="5"/>
      <c r="N657" s="5"/>
      <c r="O657" s="5"/>
      <c r="P657" s="5"/>
      <c r="Q657" s="5"/>
      <c r="R657" s="5"/>
      <c r="S657" s="5"/>
      <c r="T657" s="5"/>
      <c r="U657" s="5"/>
      <c r="V657" s="5"/>
      <c r="W657" s="5"/>
      <c r="X657" s="5"/>
      <c r="Y657" s="5"/>
      <c r="Z657" s="5"/>
    </row>
    <row r="658" spans="1:26" ht="12.5" x14ac:dyDescent="0.25">
      <c r="A658" s="5" t="s">
        <v>1120</v>
      </c>
      <c r="B658" s="5" t="str">
        <f ca="1">IFERROR(__xludf.DUMMYFUNCTION("AI(""Fill an appropriate value for this cell based on the table context"")"),"not influenced by personal interest or bias")</f>
        <v>not influenced by personal interest or bias</v>
      </c>
      <c r="C658" s="5" t="str">
        <f ca="1">IFERROR(__xludf.DUMMYFUNCTION("AI(""Fill an appropriate value for this cell based on the table context"")"),"impartial, unbiased, neutral")</f>
        <v>impartial, unbiased, neutral</v>
      </c>
      <c r="D658" s="5" t="str">
        <f ca="1">IFERROR(__xludf.DUMMYFUNCTION("AI(""Fill an appropriate value for this cell based on the table context"")"),"A disinterested mediator was appointed to help both parties reach a fair agreement.")</f>
        <v>A disinterested mediator was appointed to help both parties reach a fair agreement.</v>
      </c>
      <c r="E658" s="5"/>
      <c r="F658" s="5"/>
      <c r="G658" s="5"/>
      <c r="H658" s="5"/>
      <c r="I658" s="5"/>
      <c r="J658" s="5"/>
      <c r="K658" s="5"/>
      <c r="L658" s="5"/>
      <c r="M658" s="5"/>
      <c r="N658" s="5"/>
      <c r="O658" s="5"/>
      <c r="P658" s="5"/>
      <c r="Q658" s="5"/>
      <c r="R658" s="5"/>
      <c r="S658" s="5"/>
      <c r="T658" s="5"/>
      <c r="U658" s="5"/>
      <c r="V658" s="5"/>
      <c r="W658" s="5"/>
      <c r="X658" s="5"/>
      <c r="Y658" s="5"/>
      <c r="Z658" s="5"/>
    </row>
    <row r="659" spans="1:26" ht="12.5" x14ac:dyDescent="0.25">
      <c r="A659" s="5" t="s">
        <v>1121</v>
      </c>
      <c r="B659" s="5" t="str">
        <f ca="1">IFERROR(__xludf.DUMMYFUNCTION("AI(""Fill an appropriate value for this cell based on the table context"")"),"attack someone violently or criticize strongly")</f>
        <v>attack someone violently or criticize strongly</v>
      </c>
      <c r="C659" s="5" t="str">
        <f ca="1">IFERROR(__xludf.DUMMYFUNCTION("AI(""Fill an appropriate value for this cell based on the table context"")"),"attack, assault, criticize")</f>
        <v>attack, assault, criticize</v>
      </c>
      <c r="D659" s="5" t="str">
        <f ca="1">IFERROR(__xludf.DUMMYFUNCTION("AI(""Fill an appropriate value for this cell based on the table context"")"),"The critics began to assail the new policy as soon as it was announced.")</f>
        <v>The critics began to assail the new policy as soon as it was announced.</v>
      </c>
      <c r="E659" s="5"/>
      <c r="F659" s="5"/>
      <c r="G659" s="5"/>
      <c r="H659" s="5"/>
      <c r="I659" s="5"/>
      <c r="J659" s="5"/>
      <c r="K659" s="5"/>
      <c r="L659" s="5"/>
      <c r="M659" s="5"/>
      <c r="N659" s="5"/>
      <c r="O659" s="5"/>
      <c r="P659" s="5"/>
      <c r="Q659" s="5"/>
      <c r="R659" s="5"/>
      <c r="S659" s="5"/>
      <c r="T659" s="5"/>
      <c r="U659" s="5"/>
      <c r="V659" s="5"/>
      <c r="W659" s="5"/>
      <c r="X659" s="5"/>
      <c r="Y659" s="5"/>
      <c r="Z659" s="5"/>
    </row>
    <row r="660" spans="1:26" ht="12.5" x14ac:dyDescent="0.25">
      <c r="A660" s="5" t="s">
        <v>1122</v>
      </c>
      <c r="B660" s="5" t="str">
        <f ca="1">IFERROR(__xludf.DUMMYFUNCTION("AI(""Fill an appropriate value for this cell based on the table context"")"),"continuing sound or echo, or a lasting effect")</f>
        <v>continuing sound or echo, or a lasting effect</v>
      </c>
      <c r="C660" s="5" t="str">
        <f ca="1">IFERROR(__xludf.DUMMYFUNCTION("AI(""Fill an appropriate value for this cell based on the table context"")"),"echo, repercussion, resonance")</f>
        <v>echo, repercussion, resonance</v>
      </c>
      <c r="D660" s="5" t="str">
        <f ca="1">IFERROR(__xludf.DUMMYFUNCTION("AI(""Fill an appropriate value for this cell based on the table context"")"),"The loud clap of thunder caused a deep reverberation throughout the narrow valley.")</f>
        <v>The loud clap of thunder caused a deep reverberation throughout the narrow valley.</v>
      </c>
      <c r="E660" s="5"/>
      <c r="F660" s="5"/>
      <c r="G660" s="5"/>
      <c r="H660" s="5"/>
      <c r="I660" s="5"/>
      <c r="J660" s="5"/>
      <c r="K660" s="5"/>
      <c r="L660" s="5"/>
      <c r="M660" s="5"/>
      <c r="N660" s="5"/>
      <c r="O660" s="5"/>
      <c r="P660" s="5"/>
      <c r="Q660" s="5"/>
      <c r="R660" s="5"/>
      <c r="S660" s="5"/>
      <c r="T660" s="5"/>
      <c r="U660" s="5"/>
      <c r="V660" s="5"/>
      <c r="W660" s="5"/>
      <c r="X660" s="5"/>
      <c r="Y660" s="5"/>
      <c r="Z660" s="5"/>
    </row>
    <row r="661" spans="1:26" ht="12.5" x14ac:dyDescent="0.25">
      <c r="A661" s="5" t="s">
        <v>1123</v>
      </c>
      <c r="B661" s="5" t="str">
        <f ca="1">IFERROR(__xludf.DUMMYFUNCTION("AI(""Fill an appropriate value for this cell based on the table context"")"),"source of help or protection in a difficult situation")</f>
        <v>source of help or protection in a difficult situation</v>
      </c>
      <c r="C661" s="5" t="str">
        <f ca="1">IFERROR(__xludf.DUMMYFUNCTION("AI(""Fill an appropriate value for this cell based on the table context"")"),"resort, option, refuge")</f>
        <v>resort, option, refuge</v>
      </c>
      <c r="D661" s="5" t="str">
        <f ca="1">IFERROR(__xludf.DUMMYFUNCTION("AI(""Fill an appropriate value for this cell based on the table context"")"),"When the package failed to arrive, she had no recourse but to request a full refund.")</f>
        <v>When the package failed to arrive, she had no recourse but to request a full refund.</v>
      </c>
      <c r="E661" s="5"/>
      <c r="F661" s="5"/>
      <c r="G661" s="5"/>
      <c r="H661" s="5"/>
      <c r="I661" s="5"/>
      <c r="J661" s="5"/>
      <c r="K661" s="5"/>
      <c r="L661" s="5"/>
      <c r="M661" s="5"/>
      <c r="N661" s="5"/>
      <c r="O661" s="5"/>
      <c r="P661" s="5"/>
      <c r="Q661" s="5"/>
      <c r="R661" s="5"/>
      <c r="S661" s="5"/>
      <c r="T661" s="5"/>
      <c r="U661" s="5"/>
      <c r="V661" s="5"/>
      <c r="W661" s="5"/>
      <c r="X661" s="5"/>
      <c r="Y661" s="5"/>
      <c r="Z661" s="5"/>
    </row>
    <row r="662" spans="1:26" ht="12.5" x14ac:dyDescent="0.25">
      <c r="A662" s="5" t="s">
        <v>1124</v>
      </c>
      <c r="B662" s="5" t="str">
        <f ca="1">IFERROR(__xludf.DUMMYFUNCTION("AI(""Fill an appropriate value for this cell based on the table context"")"),"dangerously steep or done suddenly without careful thought")</f>
        <v>dangerously steep or done suddenly without careful thought</v>
      </c>
      <c r="C662" s="5" t="str">
        <f ca="1">IFERROR(__xludf.DUMMYFUNCTION("AI(""Fill an appropriate value for this cell based on the table context"")"),"steep, abrupt, hasty")</f>
        <v>steep, abrupt, hasty</v>
      </c>
      <c r="D662" s="5" t="str">
        <f ca="1">IFERROR(__xludf.DUMMYFUNCTION("AI(""Fill an appropriate value for this cell based on the table context"")"),"The hikers proceeded with caution near the precipitous drop at the edge of the cliff.")</f>
        <v>The hikers proceeded with caution near the precipitous drop at the edge of the cliff.</v>
      </c>
      <c r="E662" s="5"/>
      <c r="F662" s="5"/>
      <c r="G662" s="5"/>
      <c r="H662" s="5"/>
      <c r="I662" s="5"/>
      <c r="J662" s="5"/>
      <c r="K662" s="5"/>
      <c r="L662" s="5"/>
      <c r="M662" s="5"/>
      <c r="N662" s="5"/>
      <c r="O662" s="5"/>
      <c r="P662" s="5"/>
      <c r="Q662" s="5"/>
      <c r="R662" s="5"/>
      <c r="S662" s="5"/>
      <c r="T662" s="5"/>
      <c r="U662" s="5"/>
      <c r="V662" s="5"/>
      <c r="W662" s="5"/>
      <c r="X662" s="5"/>
      <c r="Y662" s="5"/>
      <c r="Z662" s="5"/>
    </row>
    <row r="663" spans="1:26" ht="12.5" x14ac:dyDescent="0.25">
      <c r="A663" s="5" t="s">
        <v>1125</v>
      </c>
      <c r="B663" s="5" t="str">
        <f ca="1">IFERROR(__xludf.DUMMYFUNCTION("AI(""Fill an appropriate value for this cell based on the table context"")"),"full of spirit, energy, and courage")</f>
        <v>full of spirit, energy, and courage</v>
      </c>
      <c r="C663" s="5" t="str">
        <f ca="1">IFERROR(__xludf.DUMMYFUNCTION("AI(""Fill an appropriate value for this cell based on the table context"")"),"spirited, plucky, courageous")</f>
        <v>spirited, plucky, courageous</v>
      </c>
      <c r="D663" s="5" t="str">
        <f ca="1">IFERROR(__xludf.DUMMYFUNCTION("AI(""Fill an appropriate value for this cell based on the table context"")"),"The mettlesome young horse refused to back down from the challenging jump.")</f>
        <v>The mettlesome young horse refused to back down from the challenging jump.</v>
      </c>
      <c r="E663" s="5"/>
      <c r="F663" s="5"/>
      <c r="G663" s="5"/>
      <c r="H663" s="5"/>
      <c r="I663" s="5"/>
      <c r="J663" s="5"/>
      <c r="K663" s="5"/>
      <c r="L663" s="5"/>
      <c r="M663" s="5"/>
      <c r="N663" s="5"/>
      <c r="O663" s="5"/>
      <c r="P663" s="5"/>
      <c r="Q663" s="5"/>
      <c r="R663" s="5"/>
      <c r="S663" s="5"/>
      <c r="T663" s="5"/>
      <c r="U663" s="5"/>
      <c r="V663" s="5"/>
      <c r="W663" s="5"/>
      <c r="X663" s="5"/>
      <c r="Y663" s="5"/>
      <c r="Z663" s="5"/>
    </row>
    <row r="664" spans="1:26" ht="12.5" x14ac:dyDescent="0.25">
      <c r="A664" s="5" t="s">
        <v>1126</v>
      </c>
      <c r="B664" s="5" t="str">
        <f ca="1">IFERROR(__xludf.DUMMYFUNCTION("AI(""Fill an appropriate value for this cell based on the table context"")"),"becoming weaker, tired, or less energetic")</f>
        <v>becoming weaker, tired, or less energetic</v>
      </c>
      <c r="C664" s="5" t="str">
        <f ca="1">IFERROR(__xludf.DUMMYFUNCTION("AI(""Fill an appropriate value for this cell based on the table context"")"),"weakening, declining, tiring")</f>
        <v>weakening, declining, tiring</v>
      </c>
      <c r="D664" s="5" t="str">
        <f ca="1">IFERROR(__xludf.DUMMYFUNCTION("AI(""Fill an appropriate value for this cell based on the table context"")"),"A cup of hot coffee helped restore her flagging energy late in the afternoon.")</f>
        <v>A cup of hot coffee helped restore her flagging energy late in the afternoon.</v>
      </c>
      <c r="E664" s="5"/>
      <c r="F664" s="5"/>
      <c r="G664" s="5"/>
      <c r="H664" s="5"/>
      <c r="I664" s="5"/>
      <c r="J664" s="5"/>
      <c r="K664" s="5"/>
      <c r="L664" s="5"/>
      <c r="M664" s="5"/>
      <c r="N664" s="5"/>
      <c r="O664" s="5"/>
      <c r="P664" s="5"/>
      <c r="Q664" s="5"/>
      <c r="R664" s="5"/>
      <c r="S664" s="5"/>
      <c r="T664" s="5"/>
      <c r="U664" s="5"/>
      <c r="V664" s="5"/>
      <c r="W664" s="5"/>
      <c r="X664" s="5"/>
      <c r="Y664" s="5"/>
      <c r="Z664" s="5"/>
    </row>
    <row r="665" spans="1:26" ht="12.5" x14ac:dyDescent="0.25">
      <c r="A665" s="5" t="s">
        <v>1127</v>
      </c>
      <c r="B665" s="5" t="str">
        <f ca="1">IFERROR(__xludf.DUMMYFUNCTION("AI(""Fill an appropriate value for this cell based on the table context"")"),"abdominal organ that filters blood, or bad temper")</f>
        <v>abdominal organ that filters blood, or bad temper</v>
      </c>
      <c r="C665" s="5" t="str">
        <f ca="1">IFERROR(__xludf.DUMMYFUNCTION("AI(""Fill an appropriate value for this cell based on the table context"")"),"spite, anger, resentment")</f>
        <v>spite, anger, resentment</v>
      </c>
      <c r="D665" s="5" t="str">
        <f ca="1">IFERROR(__xludf.DUMMYFUNCTION("AI(""Fill an appropriate value for this cell based on the table context"")"),"In a sudden outburst of spleen, he slammed his fist on the table and stormed out.")</f>
        <v>In a sudden outburst of spleen, he slammed his fist on the table and stormed out.</v>
      </c>
      <c r="E665" s="5"/>
      <c r="F665" s="5"/>
      <c r="G665" s="5"/>
      <c r="H665" s="5"/>
      <c r="I665" s="5"/>
      <c r="J665" s="5"/>
      <c r="K665" s="5"/>
      <c r="L665" s="5"/>
      <c r="M665" s="5"/>
      <c r="N665" s="5"/>
      <c r="O665" s="5"/>
      <c r="P665" s="5"/>
      <c r="Q665" s="5"/>
      <c r="R665" s="5"/>
      <c r="S665" s="5"/>
      <c r="T665" s="5"/>
      <c r="U665" s="5"/>
      <c r="V665" s="5"/>
      <c r="W665" s="5"/>
      <c r="X665" s="5"/>
      <c r="Y665" s="5"/>
      <c r="Z665" s="5"/>
    </row>
    <row r="666" spans="1:26" ht="12.5" x14ac:dyDescent="0.25">
      <c r="A666" s="5" t="s">
        <v>1128</v>
      </c>
      <c r="B666" s="5" t="str">
        <f ca="1">IFERROR(__xludf.DUMMYFUNCTION("AI(""Fill an appropriate value for this cell based on the table context"")"),"occurring in brief, irregular bursts or caused by spasms")</f>
        <v>occurring in brief, irregular bursts or caused by spasms</v>
      </c>
      <c r="C666" s="5" t="str">
        <f ca="1">IFERROR(__xludf.DUMMYFUNCTION("AI(""Fill an appropriate value for this cell based on the table context"")"),"fitful, intermittent, sporadic")</f>
        <v>fitful, intermittent, sporadic</v>
      </c>
      <c r="D666" s="5" t="str">
        <f ca="1">IFERROR(__xludf.DUMMYFUNCTION("AI(""Fill an appropriate value for this cell based on the table context"")"),"His spasmodic attempts at studying resulted in poor final grades.")</f>
        <v>His spasmodic attempts at studying resulted in poor final grades.</v>
      </c>
      <c r="E666" s="5"/>
      <c r="F666" s="5"/>
      <c r="G666" s="5"/>
      <c r="H666" s="5"/>
      <c r="I666" s="5"/>
      <c r="J666" s="5"/>
      <c r="K666" s="5"/>
      <c r="L666" s="5"/>
      <c r="M666" s="5"/>
      <c r="N666" s="5"/>
      <c r="O666" s="5"/>
      <c r="P666" s="5"/>
      <c r="Q666" s="5"/>
      <c r="R666" s="5"/>
      <c r="S666" s="5"/>
      <c r="T666" s="5"/>
      <c r="U666" s="5"/>
      <c r="V666" s="5"/>
      <c r="W666" s="5"/>
      <c r="X666" s="5"/>
      <c r="Y666" s="5"/>
      <c r="Z666" s="5"/>
    </row>
    <row r="667" spans="1:26" ht="12.5" x14ac:dyDescent="0.25">
      <c r="A667" s="5" t="s">
        <v>1129</v>
      </c>
      <c r="B667" s="5" t="str">
        <f ca="1">IFERROR(__xludf.DUMMYFUNCTION("AI(""Fill an appropriate value for this cell based on the table context"")"),"easily achieved, or superficial and lacking thought")</f>
        <v>easily achieved, or superficial and lacking thought</v>
      </c>
      <c r="C667" s="5" t="str">
        <f ca="1">IFERROR(__xludf.DUMMYFUNCTION("AI(""Fill an appropriate value for this cell based on the table context"")"),"superficial, shallow, effortless")</f>
        <v>superficial, shallow, effortless</v>
      </c>
      <c r="D667" s="5" t="str">
        <f ca="1">IFERROR(__xludf.DUMMYFUNCTION("AI(""Fill an appropriate value for this cell based on the table context"")"),"She offered a facile solution to a problem that required deep analysis.")</f>
        <v>She offered a facile solution to a problem that required deep analysis.</v>
      </c>
      <c r="E667" s="5"/>
      <c r="F667" s="5"/>
      <c r="G667" s="5"/>
      <c r="H667" s="5"/>
      <c r="I667" s="5"/>
      <c r="J667" s="5"/>
      <c r="K667" s="5"/>
      <c r="L667" s="5"/>
      <c r="M667" s="5"/>
      <c r="N667" s="5"/>
      <c r="O667" s="5"/>
      <c r="P667" s="5"/>
      <c r="Q667" s="5"/>
      <c r="R667" s="5"/>
      <c r="S667" s="5"/>
      <c r="T667" s="5"/>
      <c r="U667" s="5"/>
      <c r="V667" s="5"/>
      <c r="W667" s="5"/>
      <c r="X667" s="5"/>
      <c r="Y667" s="5"/>
      <c r="Z667" s="5"/>
    </row>
    <row r="668" spans="1:26" ht="12.5" x14ac:dyDescent="0.25">
      <c r="A668" s="5" t="s">
        <v>1130</v>
      </c>
      <c r="B668" s="5" t="str">
        <f ca="1">IFERROR(__xludf.DUMMYFUNCTION("AI(""Fill an appropriate value for this cell based on the table context"")"),"long deeply for something, or an evergreen coniferous tree")</f>
        <v>long deeply for something, or an evergreen coniferous tree</v>
      </c>
      <c r="C668" s="5" t="str">
        <f ca="1">IFERROR(__xludf.DUMMYFUNCTION("AI(""Fill an appropriate value for this cell based on the table context"")"),"yearn, long, hanker")</f>
        <v>yearn, long, hanker</v>
      </c>
      <c r="D668" s="5" t="str">
        <f ca="1">IFERROR(__xludf.DUMMYFUNCTION("AI(""Fill an appropriate value for this cell based on the table context"")"),"After moving away, he continued to pine for his quiet hometown.")</f>
        <v>After moving away, he continued to pine for his quiet hometown.</v>
      </c>
      <c r="E668" s="5"/>
      <c r="F668" s="5"/>
      <c r="G668" s="5"/>
      <c r="H668" s="5"/>
      <c r="I668" s="5"/>
      <c r="J668" s="5"/>
      <c r="K668" s="5"/>
      <c r="L668" s="5"/>
      <c r="M668" s="5"/>
      <c r="N668" s="5"/>
      <c r="O668" s="5"/>
      <c r="P668" s="5"/>
      <c r="Q668" s="5"/>
      <c r="R668" s="5"/>
      <c r="S668" s="5"/>
      <c r="T668" s="5"/>
      <c r="U668" s="5"/>
      <c r="V668" s="5"/>
      <c r="W668" s="5"/>
      <c r="X668" s="5"/>
      <c r="Y668" s="5"/>
      <c r="Z668" s="5"/>
    </row>
    <row r="669" spans="1:26" ht="12.5" x14ac:dyDescent="0.25">
      <c r="A669" s="5" t="s">
        <v>1131</v>
      </c>
      <c r="B669" s="5" t="str">
        <f ca="1">IFERROR(__xludf.DUMMYFUNCTION("AI(""Fill an appropriate value for this cell based on the table context"")"),"compulsion or coercion produced by threat or force")</f>
        <v>compulsion or coercion produced by threat or force</v>
      </c>
      <c r="C669" s="5" t="str">
        <f ca="1">IFERROR(__xludf.DUMMYFUNCTION("AI(""Fill an appropriate value for this cell based on the table context"")"),"coercion, compulsion, pressure")</f>
        <v>coercion, compulsion, pressure</v>
      </c>
      <c r="D669" s="5" t="str">
        <f ca="1">IFERROR(__xludf.DUMMYFUNCTION("AI(""Fill an appropriate value for this cell based on the table context"")"),"He signed the contract under duress after being threatened with legal action.")</f>
        <v>He signed the contract under duress after being threatened with legal action.</v>
      </c>
      <c r="E669" s="5"/>
      <c r="F669" s="5"/>
      <c r="G669" s="5"/>
      <c r="H669" s="5"/>
      <c r="I669" s="5"/>
      <c r="J669" s="5"/>
      <c r="K669" s="5"/>
      <c r="L669" s="5"/>
      <c r="M669" s="5"/>
      <c r="N669" s="5"/>
      <c r="O669" s="5"/>
      <c r="P669" s="5"/>
      <c r="Q669" s="5"/>
      <c r="R669" s="5"/>
      <c r="S669" s="5"/>
      <c r="T669" s="5"/>
      <c r="U669" s="5"/>
      <c r="V669" s="5"/>
      <c r="W669" s="5"/>
      <c r="X669" s="5"/>
      <c r="Y669" s="5"/>
      <c r="Z669" s="5"/>
    </row>
    <row r="670" spans="1:26" ht="12.5" x14ac:dyDescent="0.25">
      <c r="A670" s="5" t="s">
        <v>1132</v>
      </c>
      <c r="B670" s="5" t="str">
        <f ca="1">IFERROR(__xludf.DUMMYFUNCTION("AI(""Fill an appropriate value for this cell based on the table context"")"),"publicly denounce or criticize strongly")</f>
        <v>publicly denounce or criticize strongly</v>
      </c>
      <c r="C670" s="5" t="str">
        <f ca="1">IFERROR(__xludf.DUMMYFUNCTION("AI(""Fill an appropriate value for this cell based on the table context"")"),"denounce, condemn, criticize")</f>
        <v>denounce, condemn, criticize</v>
      </c>
      <c r="D670" s="5" t="str">
        <f ca="1">IFERROR(__xludf.DUMMYFUNCTION("AI(""Fill an appropriate value for this cell based on the table context"")"),"Local leaders gathered to decry the proposed tax increase.")</f>
        <v>Local leaders gathered to decry the proposed tax increase.</v>
      </c>
      <c r="E670" s="5"/>
      <c r="F670" s="5"/>
      <c r="G670" s="5"/>
      <c r="H670" s="5"/>
      <c r="I670" s="5"/>
      <c r="J670" s="5"/>
      <c r="K670" s="5"/>
      <c r="L670" s="5"/>
      <c r="M670" s="5"/>
      <c r="N670" s="5"/>
      <c r="O670" s="5"/>
      <c r="P670" s="5"/>
      <c r="Q670" s="5"/>
      <c r="R670" s="5"/>
      <c r="S670" s="5"/>
      <c r="T670" s="5"/>
      <c r="U670" s="5"/>
      <c r="V670" s="5"/>
      <c r="W670" s="5"/>
      <c r="X670" s="5"/>
      <c r="Y670" s="5"/>
      <c r="Z670" s="5"/>
    </row>
    <row r="671" spans="1:26" ht="12.5" x14ac:dyDescent="0.25">
      <c r="A671" s="5" t="s">
        <v>1133</v>
      </c>
      <c r="B671" s="5" t="str">
        <f ca="1">IFERROR(__xludf.DUMMYFUNCTION("AI(""Fill an appropriate value for this cell based on the table context"")"),"recovering health and strength after an illness")</f>
        <v>recovering health and strength after an illness</v>
      </c>
      <c r="C671" s="5" t="str">
        <f ca="1">IFERROR(__xludf.DUMMYFUNCTION("AI(""Fill an appropriate value for this cell based on the table context"")"),"recovering, recuperating, mending")</f>
        <v>recovering, recuperating, mending</v>
      </c>
      <c r="D671" s="5" t="str">
        <f ca="1">IFERROR(__xludf.DUMMYFUNCTION("AI(""Fill an appropriate value for this cell based on the table context"")"),"The patient spent a month at a quiet seaside home during her convalescent period.")</f>
        <v>The patient spent a month at a quiet seaside home during her convalescent period.</v>
      </c>
      <c r="E671" s="5"/>
      <c r="F671" s="5"/>
      <c r="G671" s="5"/>
      <c r="H671" s="5"/>
      <c r="I671" s="5"/>
      <c r="J671" s="5"/>
      <c r="K671" s="5"/>
      <c r="L671" s="5"/>
      <c r="M671" s="5"/>
      <c r="N671" s="5"/>
      <c r="O671" s="5"/>
      <c r="P671" s="5"/>
      <c r="Q671" s="5"/>
      <c r="R671" s="5"/>
      <c r="S671" s="5"/>
      <c r="T671" s="5"/>
      <c r="U671" s="5"/>
      <c r="V671" s="5"/>
      <c r="W671" s="5"/>
      <c r="X671" s="5"/>
      <c r="Y671" s="5"/>
      <c r="Z671" s="5"/>
    </row>
    <row r="672" spans="1:26" ht="12.5" x14ac:dyDescent="0.25">
      <c r="A672" s="5" t="s">
        <v>1134</v>
      </c>
      <c r="B672" s="5" t="str">
        <f ca="1">IFERROR(__xludf.DUMMYFUNCTION("AI(""Fill an appropriate value for this cell based on the table context"")"),"starting and stopping irregularly")</f>
        <v>starting and stopping irregularly</v>
      </c>
      <c r="C672" s="5" t="str">
        <f ca="1">IFERROR(__xludf.DUMMYFUNCTION("AI(""Fill an appropriate value for this cell based on the table context"")"),"sporadic, irregular, intermittent")</f>
        <v>sporadic, irregular, intermittent</v>
      </c>
      <c r="D672" s="5" t="str">
        <f ca="1">IFERROR(__xludf.DUMMYFUNCTION("AI(""Fill an appropriate value for this cell based on the table context"")"),"After a fitful night of sleep, she woke up feeling exhausted.")</f>
        <v>After a fitful night of sleep, she woke up feeling exhausted.</v>
      </c>
      <c r="E672" s="5"/>
      <c r="F672" s="5"/>
      <c r="G672" s="5"/>
      <c r="H672" s="5"/>
      <c r="I672" s="5"/>
      <c r="J672" s="5"/>
      <c r="K672" s="5"/>
      <c r="L672" s="5"/>
      <c r="M672" s="5"/>
      <c r="N672" s="5"/>
      <c r="O672" s="5"/>
      <c r="P672" s="5"/>
      <c r="Q672" s="5"/>
      <c r="R672" s="5"/>
      <c r="S672" s="5"/>
      <c r="T672" s="5"/>
      <c r="U672" s="5"/>
      <c r="V672" s="5"/>
      <c r="W672" s="5"/>
      <c r="X672" s="5"/>
      <c r="Y672" s="5"/>
      <c r="Z672" s="5"/>
    </row>
    <row r="673" spans="1:26" ht="12.5" x14ac:dyDescent="0.25">
      <c r="A673" s="5" t="s">
        <v>1135</v>
      </c>
      <c r="B673" s="5" t="str">
        <f ca="1">IFERROR(__xludf.DUMMYFUNCTION("AI(""Fill an appropriate value for this cell based on the table context"")"),"lively, animated, and full of energy")</f>
        <v>lively, animated, and full of energy</v>
      </c>
      <c r="C673" s="5" t="str">
        <f ca="1">IFERROR(__xludf.DUMMYFUNCTION("AI(""Fill an appropriate value for this cell based on the table context"")"),"lively, animated, ebullient")</f>
        <v>lively, animated, ebullient</v>
      </c>
      <c r="D673" s="5" t="str">
        <f ca="1">IFERROR(__xludf.DUMMYFUNCTION("AI(""Fill an appropriate value for this cell based on the table context"")"),"Her vivacious personality made her the center of attention at every social gathering.")</f>
        <v>Her vivacious personality made her the center of attention at every social gathering.</v>
      </c>
      <c r="E673" s="5"/>
      <c r="F673" s="5"/>
      <c r="G673" s="5"/>
      <c r="H673" s="5"/>
      <c r="I673" s="5"/>
      <c r="J673" s="5"/>
      <c r="K673" s="5"/>
      <c r="L673" s="5"/>
      <c r="M673" s="5"/>
      <c r="N673" s="5"/>
      <c r="O673" s="5"/>
      <c r="P673" s="5"/>
      <c r="Q673" s="5"/>
      <c r="R673" s="5"/>
      <c r="S673" s="5"/>
      <c r="T673" s="5"/>
      <c r="U673" s="5"/>
      <c r="V673" s="5"/>
      <c r="W673" s="5"/>
      <c r="X673" s="5"/>
      <c r="Y673" s="5"/>
      <c r="Z673" s="5"/>
    </row>
    <row r="674" spans="1:26" ht="12.5" x14ac:dyDescent="0.25">
      <c r="A674" s="5" t="s">
        <v>1136</v>
      </c>
      <c r="B674" s="5" t="str">
        <f ca="1">IFERROR(__xludf.DUMMYFUNCTION("AI(""Fill an appropriate value for this cell based on the table context"")"),"spend sparingly or economize")</f>
        <v>spend sparingly or economize</v>
      </c>
      <c r="C674" s="5" t="str">
        <f ca="1">IFERROR(__xludf.DUMMYFUNCTION("AI(""Fill an appropriate value for this cell based on the table context"")"),"skimp, economize, pinch")</f>
        <v>skimp, economize, pinch</v>
      </c>
      <c r="D674" s="5" t="str">
        <f ca="1">IFERROR(__xludf.DUMMYFUNCTION("AI(""Fill an appropriate value for this cell based on the table context"")"),"They had to scrimp and save for months to afford their new home.")</f>
        <v>They had to scrimp and save for months to afford their new home.</v>
      </c>
      <c r="E674" s="5"/>
      <c r="F674" s="5"/>
      <c r="G674" s="5"/>
      <c r="H674" s="5"/>
      <c r="I674" s="5"/>
      <c r="J674" s="5"/>
      <c r="K674" s="5"/>
      <c r="L674" s="5"/>
      <c r="M674" s="5"/>
      <c r="N674" s="5"/>
      <c r="O674" s="5"/>
      <c r="P674" s="5"/>
      <c r="Q674" s="5"/>
      <c r="R674" s="5"/>
      <c r="S674" s="5"/>
      <c r="T674" s="5"/>
      <c r="U674" s="5"/>
      <c r="V674" s="5"/>
      <c r="W674" s="5"/>
      <c r="X674" s="5"/>
      <c r="Y674" s="5"/>
      <c r="Z674" s="5"/>
    </row>
    <row r="675" spans="1:26" ht="12.5" x14ac:dyDescent="0.25">
      <c r="A675" s="5" t="s">
        <v>1137</v>
      </c>
      <c r="B675" s="5" t="str">
        <f ca="1">IFERROR(__xludf.DUMMYFUNCTION("AI(""Fill an appropriate value for this cell based on the table context"")"),"remarkably or impressively great in size or degree")</f>
        <v>remarkably or impressively great in size or degree</v>
      </c>
      <c r="C675" s="5" t="str">
        <f ca="1">IFERROR(__xludf.DUMMYFUNCTION("AI(""Fill an appropriate value for this cell based on the table context"")"),"immense, colossal, enormous")</f>
        <v>immense, colossal, enormous</v>
      </c>
      <c r="D675" s="5" t="str">
        <f ca="1">IFERROR(__xludf.DUMMYFUNCTION("AI(""Fill an appropriate value for this cell based on the table context"")"),"The young pianist demonstrated a prodigious talent for music at an early age.")</f>
        <v>The young pianist demonstrated a prodigious talent for music at an early age.</v>
      </c>
      <c r="E675" s="5"/>
      <c r="F675" s="5"/>
      <c r="G675" s="5"/>
      <c r="H675" s="5"/>
      <c r="I675" s="5"/>
      <c r="J675" s="5"/>
      <c r="K675" s="5"/>
      <c r="L675" s="5"/>
      <c r="M675" s="5"/>
      <c r="N675" s="5"/>
      <c r="O675" s="5"/>
      <c r="P675" s="5"/>
      <c r="Q675" s="5"/>
      <c r="R675" s="5"/>
      <c r="S675" s="5"/>
      <c r="T675" s="5"/>
      <c r="U675" s="5"/>
      <c r="V675" s="5"/>
      <c r="W675" s="5"/>
      <c r="X675" s="5"/>
      <c r="Y675" s="5"/>
      <c r="Z675" s="5"/>
    </row>
    <row r="676" spans="1:26" ht="12.5" x14ac:dyDescent="0.25">
      <c r="A676" s="5" t="s">
        <v>1138</v>
      </c>
      <c r="B676" s="5" t="str">
        <f ca="1">IFERROR(__xludf.DUMMYFUNCTION("AI(""Fill an appropriate value for this cell based on the table context"")"),"free or safe from injury or violation")</f>
        <v>free or safe from injury or violation</v>
      </c>
      <c r="C676" s="5" t="str">
        <f ca="1">IFERROR(__xludf.DUMMYFUNCTION("AI(""Fill an appropriate value for this cell based on the table context"")"),"untouched, sacrosanct, pristine")</f>
        <v>untouched, sacrosanct, pristine</v>
      </c>
      <c r="D676" s="5" t="str">
        <f ca="1">IFERROR(__xludf.DUMMYFUNCTION("AI(""Fill an appropriate value for this cell based on the table context"")"),"The sacred site remained inviolate for centuries despite the ongoing conflict.")</f>
        <v>The sacred site remained inviolate for centuries despite the ongoing conflict.</v>
      </c>
      <c r="E676" s="5"/>
      <c r="F676" s="5"/>
      <c r="G676" s="5"/>
      <c r="H676" s="5"/>
      <c r="I676" s="5"/>
      <c r="J676" s="5"/>
      <c r="K676" s="5"/>
      <c r="L676" s="5"/>
      <c r="M676" s="5"/>
      <c r="N676" s="5"/>
      <c r="O676" s="5"/>
      <c r="P676" s="5"/>
      <c r="Q676" s="5"/>
      <c r="R676" s="5"/>
      <c r="S676" s="5"/>
      <c r="T676" s="5"/>
      <c r="U676" s="5"/>
      <c r="V676" s="5"/>
      <c r="W676" s="5"/>
      <c r="X676" s="5"/>
      <c r="Y676" s="5"/>
      <c r="Z676" s="5"/>
    </row>
    <row r="677" spans="1:26" ht="12.5" x14ac:dyDescent="0.25">
      <c r="A677" s="5" t="s">
        <v>1139</v>
      </c>
      <c r="B677" s="5" t="str">
        <f ca="1">IFERROR(__xludf.DUMMYFUNCTION("AI(""Fill an appropriate value for this cell based on the table context"")"),"excessively dramatic or theatrical in behavior")</f>
        <v>excessively dramatic or theatrical in behavior</v>
      </c>
      <c r="C677" s="5" t="str">
        <f ca="1">IFERROR(__xludf.DUMMYFUNCTION("AI(""Fill an appropriate value for this cell based on the table context"")"),"theatrical, melodramatic, dramatic")</f>
        <v>theatrical, melodramatic, dramatic</v>
      </c>
      <c r="D677" s="5" t="str">
        <f ca="1">IFERROR(__xludf.DUMMYFUNCTION("AI(""Fill an appropriate value for this cell based on the table context"")"),"Her histrionic outburst at the dinner table shocked all the guests.")</f>
        <v>Her histrionic outburst at the dinner table shocked all the guests.</v>
      </c>
      <c r="E677" s="5"/>
      <c r="F677" s="5"/>
      <c r="G677" s="5"/>
      <c r="H677" s="5"/>
      <c r="I677" s="5"/>
      <c r="J677" s="5"/>
      <c r="K677" s="5"/>
      <c r="L677" s="5"/>
      <c r="M677" s="5"/>
      <c r="N677" s="5"/>
      <c r="O677" s="5"/>
      <c r="P677" s="5"/>
      <c r="Q677" s="5"/>
      <c r="R677" s="5"/>
      <c r="S677" s="5"/>
      <c r="T677" s="5"/>
      <c r="U677" s="5"/>
      <c r="V677" s="5"/>
      <c r="W677" s="5"/>
      <c r="X677" s="5"/>
      <c r="Y677" s="5"/>
      <c r="Z677" s="5"/>
    </row>
    <row r="678" spans="1:26" ht="12.5" x14ac:dyDescent="0.25">
      <c r="A678" s="5" t="s">
        <v>1140</v>
      </c>
      <c r="B678" s="5" t="str">
        <f ca="1">IFERROR(__xludf.DUMMYFUNCTION("AI(""Fill an appropriate value for this cell based on the table context"")"),"contrary to accepted or traditional beliefs")</f>
        <v>contrary to accepted or traditional beliefs</v>
      </c>
      <c r="C678" s="5" t="str">
        <f ca="1">IFERROR(__xludf.DUMMYFUNCTION("AI(""Fill an appropriate value for this cell based on the table context"")"),"unconventional, unorthodox, heretical")</f>
        <v>unconventional, unorthodox, heretical</v>
      </c>
      <c r="D678" s="5" t="str">
        <f ca="1">IFERROR(__xludf.DUMMYFUNCTION("AI(""Fill an appropriate value for this cell based on the table context"")"),"The scientist presented heterodox views that challenged established theories.")</f>
        <v>The scientist presented heterodox views that challenged established theories.</v>
      </c>
      <c r="E678" s="5"/>
      <c r="F678" s="5"/>
      <c r="G678" s="5"/>
      <c r="H678" s="5"/>
      <c r="I678" s="5"/>
      <c r="J678" s="5"/>
      <c r="K678" s="5"/>
      <c r="L678" s="5"/>
      <c r="M678" s="5"/>
      <c r="N678" s="5"/>
      <c r="O678" s="5"/>
      <c r="P678" s="5"/>
      <c r="Q678" s="5"/>
      <c r="R678" s="5"/>
      <c r="S678" s="5"/>
      <c r="T678" s="5"/>
      <c r="U678" s="5"/>
      <c r="V678" s="5"/>
      <c r="W678" s="5"/>
      <c r="X678" s="5"/>
      <c r="Y678" s="5"/>
      <c r="Z678" s="5"/>
    </row>
    <row r="679" spans="1:26" ht="12.5" x14ac:dyDescent="0.25">
      <c r="A679" s="5" t="s">
        <v>1141</v>
      </c>
      <c r="B679" s="5" t="str">
        <f ca="1">IFERROR(__xludf.DUMMYFUNCTION("AI(""Fill an appropriate value for this cell based on the table context"")"),"an embarrassing blunder in a social situation")</f>
        <v>an embarrassing blunder in a social situation</v>
      </c>
      <c r="C679" s="5" t="str">
        <f ca="1">IFERROR(__xludf.DUMMYFUNCTION("AI(""Fill an appropriate value for this cell based on the table context"")"),"blunder, mistake, indiscretion")</f>
        <v>blunder, mistake, indiscretion</v>
      </c>
      <c r="D679" s="5" t="str">
        <f ca="1">IFERROR(__xludf.DUMMYFUNCTION("AI(""Fill an appropriate value for this cell based on the table context"")"),"The diplomat made a serious gaffe during the international press conference.")</f>
        <v>The diplomat made a serious gaffe during the international press conference.</v>
      </c>
      <c r="E679" s="5"/>
      <c r="F679" s="5"/>
      <c r="G679" s="5"/>
      <c r="H679" s="5"/>
      <c r="I679" s="5"/>
      <c r="J679" s="5"/>
      <c r="K679" s="5"/>
      <c r="L679" s="5"/>
      <c r="M679" s="5"/>
      <c r="N679" s="5"/>
      <c r="O679" s="5"/>
      <c r="P679" s="5"/>
      <c r="Q679" s="5"/>
      <c r="R679" s="5"/>
      <c r="S679" s="5"/>
      <c r="T679" s="5"/>
      <c r="U679" s="5"/>
      <c r="V679" s="5"/>
      <c r="W679" s="5"/>
      <c r="X679" s="5"/>
      <c r="Y679" s="5"/>
      <c r="Z679" s="5"/>
    </row>
    <row r="680" spans="1:26" ht="12.5" x14ac:dyDescent="0.25">
      <c r="A680" s="5" t="s">
        <v>1142</v>
      </c>
      <c r="B680" s="5" t="str">
        <f ca="1">IFERROR(__xludf.DUMMYFUNCTION("AI(""Fill an appropriate value for this cell based on the table context"")"),"decorate fabric with needlework or embellish a story")</f>
        <v>decorate fabric with needlework or embellish a story</v>
      </c>
      <c r="C680" s="5" t="str">
        <f ca="1">IFERROR(__xludf.DUMMYFUNCTION("AI(""Fill an appropriate value for this cell based on the table context"")"),"embellish, decorate, exaggerate")</f>
        <v>embellish, decorate, exaggerate</v>
      </c>
      <c r="D680" s="5" t="str">
        <f ca="1">IFERROR(__xludf.DUMMYFUNCTION("AI(""Fill an appropriate value for this cell based on the table context"")"),"She tended to embroider her childhood stories to make them more entertaining.")</f>
        <v>She tended to embroider her childhood stories to make them more entertaining.</v>
      </c>
      <c r="E680" s="5"/>
      <c r="F680" s="5"/>
      <c r="G680" s="5"/>
      <c r="H680" s="5"/>
      <c r="I680" s="5"/>
      <c r="J680" s="5"/>
      <c r="K680" s="5"/>
      <c r="L680" s="5"/>
      <c r="M680" s="5"/>
      <c r="N680" s="5"/>
      <c r="O680" s="5"/>
      <c r="P680" s="5"/>
      <c r="Q680" s="5"/>
      <c r="R680" s="5"/>
      <c r="S680" s="5"/>
      <c r="T680" s="5"/>
      <c r="U680" s="5"/>
      <c r="V680" s="5"/>
      <c r="W680" s="5"/>
      <c r="X680" s="5"/>
      <c r="Y680" s="5"/>
      <c r="Z680" s="5"/>
    </row>
    <row r="681" spans="1:26" ht="12.5" x14ac:dyDescent="0.25">
      <c r="A681" s="5" t="s">
        <v>1143</v>
      </c>
      <c r="B681" s="5" t="str">
        <f ca="1">IFERROR(__xludf.DUMMYFUNCTION("AI(""Fill an appropriate value for this cell based on the table context"")"),"offer or present for acceptance")</f>
        <v>offer or present for acceptance</v>
      </c>
      <c r="C681" s="5" t="str">
        <f ca="1">IFERROR(__xludf.DUMMYFUNCTION("AI(""Fill an appropriate value for this cell based on the table context"")"),"offer, present, tender")</f>
        <v>offer, present, tender</v>
      </c>
      <c r="D681" s="5" t="str">
        <f ca="1">IFERROR(__xludf.DUMMYFUNCTION("AI(""Fill an appropriate value for this cell based on the table context"")"),"She was quick to proffer a sincere apology for her unexpected delay.")</f>
        <v>She was quick to proffer a sincere apology for her unexpected delay.</v>
      </c>
      <c r="E681" s="5"/>
      <c r="F681" s="5"/>
      <c r="G681" s="5"/>
      <c r="H681" s="5"/>
      <c r="I681" s="5"/>
      <c r="J681" s="5"/>
      <c r="K681" s="5"/>
      <c r="L681" s="5"/>
      <c r="M681" s="5"/>
      <c r="N681" s="5"/>
      <c r="O681" s="5"/>
      <c r="P681" s="5"/>
      <c r="Q681" s="5"/>
      <c r="R681" s="5"/>
      <c r="S681" s="5"/>
      <c r="T681" s="5"/>
      <c r="U681" s="5"/>
      <c r="V681" s="5"/>
      <c r="W681" s="5"/>
      <c r="X681" s="5"/>
      <c r="Y681" s="5"/>
      <c r="Z681" s="5"/>
    </row>
    <row r="682" spans="1:26" ht="12.5" x14ac:dyDescent="0.25">
      <c r="A682" s="5" t="s">
        <v>1144</v>
      </c>
      <c r="B682" s="5" t="str">
        <f ca="1">IFERROR(__xludf.DUMMYFUNCTION("AI(""Fill an appropriate value for this cell based on the table context"")"),"extremely generous or lavish")</f>
        <v>extremely generous or lavish</v>
      </c>
      <c r="C682" s="5" t="str">
        <f ca="1">IFERROR(__xludf.DUMMYFUNCTION("AI(""Fill an appropriate value for this cell based on the table context"")"),"generous, lavish, bountiful")</f>
        <v>generous, lavish, bountiful</v>
      </c>
      <c r="D682" s="5" t="str">
        <f ca="1">IFERROR(__xludf.DUMMYFUNCTION("AI(""Fill an appropriate value for this cell based on the table context"")"),"The university received a munificent donation from an anonymous benefactor.")</f>
        <v>The university received a munificent donation from an anonymous benefactor.</v>
      </c>
      <c r="E682" s="5"/>
      <c r="F682" s="5"/>
      <c r="G682" s="5"/>
      <c r="H682" s="5"/>
      <c r="I682" s="5"/>
      <c r="J682" s="5"/>
      <c r="K682" s="5"/>
      <c r="L682" s="5"/>
      <c r="M682" s="5"/>
      <c r="N682" s="5"/>
      <c r="O682" s="5"/>
      <c r="P682" s="5"/>
      <c r="Q682" s="5"/>
      <c r="R682" s="5"/>
      <c r="S682" s="5"/>
      <c r="T682" s="5"/>
      <c r="U682" s="5"/>
      <c r="V682" s="5"/>
      <c r="W682" s="5"/>
      <c r="X682" s="5"/>
      <c r="Y682" s="5"/>
      <c r="Z682" s="5"/>
    </row>
    <row r="683" spans="1:26" ht="12.5" x14ac:dyDescent="0.25">
      <c r="A683" s="5" t="s">
        <v>1145</v>
      </c>
      <c r="B683" s="5" t="str">
        <f ca="1">IFERROR(__xludf.DUMMYFUNCTION("AI(""Fill an appropriate value for this cell based on the table context"")"),"traveling from place to place")</f>
        <v>traveling from place to place</v>
      </c>
      <c r="C683" s="5" t="str">
        <f ca="1">IFERROR(__xludf.DUMMYFUNCTION("AI(""Fill an appropriate value for this cell based on the table context"")"),"itinerant, nomadic, wandering")</f>
        <v>itinerant, nomadic, wandering</v>
      </c>
      <c r="D683" s="5" t="str">
        <f ca="1">IFERROR(__xludf.DUMMYFUNCTION("AI(""Fill an appropriate value for this cell based on the table context"")"),"As a travel journalist, he led a peripatetic lifestyle across several continents.")</f>
        <v>As a travel journalist, he led a peripatetic lifestyle across several continents.</v>
      </c>
      <c r="E683" s="5"/>
      <c r="F683" s="5"/>
      <c r="G683" s="5"/>
      <c r="H683" s="5"/>
      <c r="I683" s="5"/>
      <c r="J683" s="5"/>
      <c r="K683" s="5"/>
      <c r="L683" s="5"/>
      <c r="M683" s="5"/>
      <c r="N683" s="5"/>
      <c r="O683" s="5"/>
      <c r="P683" s="5"/>
      <c r="Q683" s="5"/>
      <c r="R683" s="5"/>
      <c r="S683" s="5"/>
      <c r="T683" s="5"/>
      <c r="U683" s="5"/>
      <c r="V683" s="5"/>
      <c r="W683" s="5"/>
      <c r="X683" s="5"/>
      <c r="Y683" s="5"/>
      <c r="Z683" s="5"/>
    </row>
    <row r="684" spans="1:26" ht="12.5" x14ac:dyDescent="0.25">
      <c r="A684" s="5" t="s">
        <v>1146</v>
      </c>
      <c r="B684" s="5" t="str">
        <f ca="1">IFERROR(__xludf.DUMMYFUNCTION("AI(""Fill an appropriate value for this cell based on the table context"")"),"courage and strength of character")</f>
        <v>courage and strength of character</v>
      </c>
      <c r="C684" s="5" t="str">
        <f ca="1">IFERROR(__xludf.DUMMYFUNCTION("AI(""Fill an appropriate value for this cell based on the table context"")"),"courage, grit, fortitude")</f>
        <v>courage, grit, fortitude</v>
      </c>
      <c r="D684" s="5" t="str">
        <f ca="1">IFERROR(__xludf.DUMMYFUNCTION("AI(""Fill an appropriate value for this cell based on the table context"")"),"The challenging assignment tested the young engineer's professional mettle.")</f>
        <v>The challenging assignment tested the young engineer's professional mettle.</v>
      </c>
      <c r="E684" s="5"/>
      <c r="F684" s="5"/>
      <c r="G684" s="5"/>
      <c r="H684" s="5"/>
      <c r="I684" s="5"/>
      <c r="J684" s="5"/>
      <c r="K684" s="5"/>
      <c r="L684" s="5"/>
      <c r="M684" s="5"/>
      <c r="N684" s="5"/>
      <c r="O684" s="5"/>
      <c r="P684" s="5"/>
      <c r="Q684" s="5"/>
      <c r="R684" s="5"/>
      <c r="S684" s="5"/>
      <c r="T684" s="5"/>
      <c r="U684" s="5"/>
      <c r="V684" s="5"/>
      <c r="W684" s="5"/>
      <c r="X684" s="5"/>
      <c r="Y684" s="5"/>
      <c r="Z684" s="5"/>
    </row>
    <row r="685" spans="1:26" ht="12.5" x14ac:dyDescent="0.25">
      <c r="A685" s="5" t="s">
        <v>1147</v>
      </c>
      <c r="B685" s="5" t="str">
        <f ca="1">IFERROR(__xludf.DUMMYFUNCTION("AI(""Fill an appropriate value for this cell based on the table context"")"),"divide and distribute proportionally")</f>
        <v>divide and distribute proportionally</v>
      </c>
      <c r="C685" s="5" t="str">
        <f ca="1">IFERROR(__xludf.DUMMYFUNCTION("AI(""Fill an appropriate value for this cell based on the table context"")"),"allocate, allot, distribute")</f>
        <v>allocate, allot, distribute</v>
      </c>
      <c r="D685" s="5" t="str">
        <f ca="1">IFERROR(__xludf.DUMMYFUNCTION("AI(""Fill an appropriate value for this cell based on the table context"")"),"The committee met to apportion the remaining funds among the local charities.")</f>
        <v>The committee met to apportion the remaining funds among the local charities.</v>
      </c>
      <c r="E685" s="5"/>
      <c r="F685" s="5"/>
      <c r="G685" s="5"/>
      <c r="H685" s="5"/>
      <c r="I685" s="5"/>
      <c r="J685" s="5"/>
      <c r="K685" s="5"/>
      <c r="L685" s="5"/>
      <c r="M685" s="5"/>
      <c r="N685" s="5"/>
      <c r="O685" s="5"/>
      <c r="P685" s="5"/>
      <c r="Q685" s="5"/>
      <c r="R685" s="5"/>
      <c r="S685" s="5"/>
      <c r="T685" s="5"/>
      <c r="U685" s="5"/>
      <c r="V685" s="5"/>
      <c r="W685" s="5"/>
      <c r="X685" s="5"/>
      <c r="Y685" s="5"/>
      <c r="Z685" s="5"/>
    </row>
    <row r="686" spans="1:26" ht="12.5" x14ac:dyDescent="0.25">
      <c r="A686" s="5" t="s">
        <v>1148</v>
      </c>
      <c r="B686" s="5" t="str">
        <f ca="1">IFERROR(__xludf.DUMMYFUNCTION("AI(""Fill an appropriate value for this cell based on the table context"")"),"pay out money from a fund")</f>
        <v>pay out money from a fund</v>
      </c>
      <c r="C686" s="5" t="str">
        <f ca="1">IFERROR(__xludf.DUMMYFUNCTION("AI(""Fill an appropriate value for this cell based on the table context"")"),"pay, expend, distribute")</f>
        <v>pay, expend, distribute</v>
      </c>
      <c r="D686" s="5" t="str">
        <f ca="1">IFERROR(__xludf.DUMMYFUNCTION("AI(""Fill an appropriate value for this cell based on the table context"")"),"The treasurer will disburse the funds once all required invoices are approved.")</f>
        <v>The treasurer will disburse the funds once all required invoices are approved.</v>
      </c>
      <c r="E686" s="5"/>
      <c r="F686" s="5"/>
      <c r="G686" s="5"/>
      <c r="H686" s="5"/>
      <c r="I686" s="5"/>
      <c r="J686" s="5"/>
      <c r="K686" s="5"/>
      <c r="L686" s="5"/>
      <c r="M686" s="5"/>
      <c r="N686" s="5"/>
      <c r="O686" s="5"/>
      <c r="P686" s="5"/>
      <c r="Q686" s="5"/>
      <c r="R686" s="5"/>
      <c r="S686" s="5"/>
      <c r="T686" s="5"/>
      <c r="U686" s="5"/>
      <c r="V686" s="5"/>
      <c r="W686" s="5"/>
      <c r="X686" s="5"/>
      <c r="Y686" s="5"/>
      <c r="Z686" s="5"/>
    </row>
    <row r="687" spans="1:26" ht="12.5" x14ac:dyDescent="0.25">
      <c r="A687" s="5" t="s">
        <v>1149</v>
      </c>
      <c r="B687" s="5" t="str">
        <f ca="1">IFERROR(__xludf.DUMMYFUNCTION("AI(""Fill an appropriate value for this cell based on the table context"")"),"something imagined or a mythical monster")</f>
        <v>something imagined or a mythical monster</v>
      </c>
      <c r="C687" s="5" t="str">
        <f ca="1">IFERROR(__xludf.DUMMYFUNCTION("AI(""Fill an appropriate value for this cell based on the table context"")"),"illusion, fantasy, delusion")</f>
        <v>illusion, fantasy, delusion</v>
      </c>
      <c r="D687" s="5" t="str">
        <f ca="1">IFERROR(__xludf.DUMMYFUNCTION("AI(""Fill an appropriate value for this cell based on the table context"")"),"His dream of finding a quick solution proved to be nothing more than a chimera.")</f>
        <v>His dream of finding a quick solution proved to be nothing more than a chimera.</v>
      </c>
      <c r="E687" s="5"/>
      <c r="F687" s="5"/>
      <c r="G687" s="5"/>
      <c r="H687" s="5"/>
      <c r="I687" s="5"/>
      <c r="J687" s="5"/>
      <c r="K687" s="5"/>
      <c r="L687" s="5"/>
      <c r="M687" s="5"/>
      <c r="N687" s="5"/>
      <c r="O687" s="5"/>
      <c r="P687" s="5"/>
      <c r="Q687" s="5"/>
      <c r="R687" s="5"/>
      <c r="S687" s="5"/>
      <c r="T687" s="5"/>
      <c r="U687" s="5"/>
      <c r="V687" s="5"/>
      <c r="W687" s="5"/>
      <c r="X687" s="5"/>
      <c r="Y687" s="5"/>
      <c r="Z687" s="5"/>
    </row>
    <row r="688" spans="1:26" ht="12.5" x14ac:dyDescent="0.25">
      <c r="A688" s="5" t="s">
        <v>1150</v>
      </c>
      <c r="B688" s="5" t="str">
        <f ca="1">IFERROR(__xludf.DUMMYFUNCTION("AI(""Fill an appropriate value for this cell based on the table context"")"),"a substance that cleanses or purges the bowels")</f>
        <v>a substance that cleanses or purges the bowels</v>
      </c>
      <c r="C688" s="5" t="str">
        <f ca="1">IFERROR(__xludf.DUMMYFUNCTION("AI(""Fill an appropriate value for this cell based on the table context"")"),"laxative, cathartic, aperient")</f>
        <v>laxative, cathartic, aperient</v>
      </c>
      <c r="D688" s="5" t="str">
        <f ca="1">IFERROR(__xludf.DUMMYFUNCTION("AI(""Fill an appropriate value for this cell based on the table context"")"),"The doctor prescribed a mild purgative to help relieve his discomfort.")</f>
        <v>The doctor prescribed a mild purgative to help relieve his discomfort.</v>
      </c>
      <c r="E688" s="5"/>
      <c r="F688" s="5"/>
      <c r="G688" s="5"/>
      <c r="H688" s="5"/>
      <c r="I688" s="5"/>
      <c r="J688" s="5"/>
      <c r="K688" s="5"/>
      <c r="L688" s="5"/>
      <c r="M688" s="5"/>
      <c r="N688" s="5"/>
      <c r="O688" s="5"/>
      <c r="P688" s="5"/>
      <c r="Q688" s="5"/>
      <c r="R688" s="5"/>
      <c r="S688" s="5"/>
      <c r="T688" s="5"/>
      <c r="U688" s="5"/>
      <c r="V688" s="5"/>
      <c r="W688" s="5"/>
      <c r="X688" s="5"/>
      <c r="Y688" s="5"/>
      <c r="Z688" s="5"/>
    </row>
    <row r="689" spans="1:26" ht="12.5" x14ac:dyDescent="0.25">
      <c r="A689" s="5" t="s">
        <v>1151</v>
      </c>
      <c r="B689" s="5" t="str">
        <f ca="1">IFERROR(__xludf.DUMMYFUNCTION("AI(""Fill an appropriate value for this cell based on the table context"")"),"state or declare to be true")</f>
        <v>state or declare to be true</v>
      </c>
      <c r="C689" s="5" t="str">
        <f ca="1">IFERROR(__xludf.DUMMYFUNCTION("AI(""Fill an appropriate value for this cell based on the table context"")"),"assert, declare, affirm")</f>
        <v>assert, declare, affirm</v>
      </c>
      <c r="D689" s="5" t="str">
        <f ca="1">IFERROR(__xludf.DUMMYFUNCTION("AI(""Fill an appropriate value for this cell based on the table context"")"),"The witness was ready to aver that the accused was nowhere near the scene.")</f>
        <v>The witness was ready to aver that the accused was nowhere near the scene.</v>
      </c>
      <c r="E689" s="5"/>
      <c r="F689" s="5"/>
      <c r="G689" s="5"/>
      <c r="H689" s="5"/>
      <c r="I689" s="5"/>
      <c r="J689" s="5"/>
      <c r="K689" s="5"/>
      <c r="L689" s="5"/>
      <c r="M689" s="5"/>
      <c r="N689" s="5"/>
      <c r="O689" s="5"/>
      <c r="P689" s="5"/>
      <c r="Q689" s="5"/>
      <c r="R689" s="5"/>
      <c r="S689" s="5"/>
      <c r="T689" s="5"/>
      <c r="U689" s="5"/>
      <c r="V689" s="5"/>
      <c r="W689" s="5"/>
      <c r="X689" s="5"/>
      <c r="Y689" s="5"/>
      <c r="Z689" s="5"/>
    </row>
    <row r="690" spans="1:26" ht="12.5" x14ac:dyDescent="0.25">
      <c r="A690" s="5" t="s">
        <v>1152</v>
      </c>
      <c r="B690" s="5" t="str">
        <f ca="1">IFERROR(__xludf.DUMMYFUNCTION("AI(""Fill an appropriate value for this cell based on the table context"")"),"extremely bad, wretched, or hopeless")</f>
        <v>extremely bad, wretched, or hopeless</v>
      </c>
      <c r="C690" s="5" t="str">
        <f ca="1">IFERROR(__xludf.DUMMYFUNCTION("AI(""Fill an appropriate value for this cell based on the table context"")"),"wretched, miserable, servile")</f>
        <v>wretched, miserable, servile</v>
      </c>
      <c r="D690" s="5" t="str">
        <f ca="1">IFERROR(__xludf.DUMMYFUNCTION("AI(""Fill an appropriate value for this cell based on the table context"")"),"They were living in abject poverty after losing their home and livelihood.")</f>
        <v>They were living in abject poverty after losing their home and livelihood.</v>
      </c>
      <c r="E690" s="5"/>
      <c r="F690" s="5"/>
      <c r="G690" s="5"/>
      <c r="H690" s="5"/>
      <c r="I690" s="5"/>
      <c r="J690" s="5"/>
      <c r="K690" s="5"/>
      <c r="L690" s="5"/>
      <c r="M690" s="5"/>
      <c r="N690" s="5"/>
      <c r="O690" s="5"/>
      <c r="P690" s="5"/>
      <c r="Q690" s="5"/>
      <c r="R690" s="5"/>
      <c r="S690" s="5"/>
      <c r="T690" s="5"/>
      <c r="U690" s="5"/>
      <c r="V690" s="5"/>
      <c r="W690" s="5"/>
      <c r="X690" s="5"/>
      <c r="Y690" s="5"/>
      <c r="Z690" s="5"/>
    </row>
    <row r="691" spans="1:26" ht="12.5" x14ac:dyDescent="0.25">
      <c r="A691" s="5" t="s">
        <v>1153</v>
      </c>
      <c r="B691" s="5" t="str">
        <f ca="1">IFERROR(__xludf.DUMMYFUNCTION("AI(""Fill an appropriate value for this cell based on the table context"")"),"traveling from place to place")</f>
        <v>traveling from place to place</v>
      </c>
      <c r="C691" s="5" t="str">
        <f ca="1">IFERROR(__xludf.DUMMYFUNCTION("AI(""Fill an appropriate value for this cell based on the table context"")"),"nomadic, peripatetic, wandering")</f>
        <v>nomadic, peripatetic, wandering</v>
      </c>
      <c r="D691" s="5" t="str">
        <f ca="1">IFERROR(__xludf.DUMMYFUNCTION("AI(""Fill an appropriate value for this cell based on the table context"")"),"The itinerant musician traveled from town to town, performing on street corners to earn a living.")</f>
        <v>The itinerant musician traveled from town to town, performing on street corners to earn a living.</v>
      </c>
      <c r="E691" s="5"/>
      <c r="F691" s="5"/>
      <c r="G691" s="5"/>
      <c r="H691" s="5"/>
      <c r="I691" s="5"/>
      <c r="J691" s="5"/>
      <c r="K691" s="5"/>
      <c r="L691" s="5"/>
      <c r="M691" s="5"/>
      <c r="N691" s="5"/>
      <c r="O691" s="5"/>
      <c r="P691" s="5"/>
      <c r="Q691" s="5"/>
      <c r="R691" s="5"/>
      <c r="S691" s="5"/>
      <c r="T691" s="5"/>
      <c r="U691" s="5"/>
      <c r="V691" s="5"/>
      <c r="W691" s="5"/>
      <c r="X691" s="5"/>
      <c r="Y691" s="5"/>
      <c r="Z691" s="5"/>
    </row>
    <row r="692" spans="1:26" ht="12.5" x14ac:dyDescent="0.25">
      <c r="A692" s="5" t="s">
        <v>1154</v>
      </c>
      <c r="B692" s="5" t="str">
        <f ca="1">IFERROR(__xludf.DUMMYFUNCTION("AI(""Fill an appropriate value for this cell based on the table context"")"),"having a mild laxative effect")</f>
        <v>having a mild laxative effect</v>
      </c>
      <c r="C692" s="5" t="str">
        <f ca="1">IFERROR(__xludf.DUMMYFUNCTION("AI(""Fill an appropriate value for this cell based on the table context"")"),"laxative, purgative, cathartic")</f>
        <v>laxative, purgative, cathartic</v>
      </c>
      <c r="D692" s="5" t="str">
        <f ca="1">IFERROR(__xludf.DUMMYFUNCTION("AI(""Fill an appropriate value for this cell based on the table context"")"),"The doctor prescribed an aperient tea to help relieve the patient's mild constipation.")</f>
        <v>The doctor prescribed an aperient tea to help relieve the patient's mild constipation.</v>
      </c>
      <c r="E692" s="5"/>
      <c r="F692" s="5"/>
      <c r="G692" s="5"/>
      <c r="H692" s="5"/>
      <c r="I692" s="5"/>
      <c r="J692" s="5"/>
      <c r="K692" s="5"/>
      <c r="L692" s="5"/>
      <c r="M692" s="5"/>
      <c r="N692" s="5"/>
      <c r="O692" s="5"/>
      <c r="P692" s="5"/>
      <c r="Q692" s="5"/>
      <c r="R692" s="5"/>
      <c r="S692" s="5"/>
      <c r="T692" s="5"/>
      <c r="U692" s="5"/>
      <c r="V692" s="5"/>
      <c r="W692" s="5"/>
      <c r="X692" s="5"/>
      <c r="Y692" s="5"/>
      <c r="Z692" s="5"/>
    </row>
    <row r="693" spans="1:26" ht="12.5" x14ac:dyDescent="0.25">
      <c r="A693" s="5" t="s">
        <v>1155</v>
      </c>
      <c r="B693" s="5" t="str">
        <f ca="1">IFERROR(__xludf.DUMMYFUNCTION("AI(""Fill an appropriate value for this cell based on the table context"")"),"sad or miserable in appearance")</f>
        <v>sad or miserable in appearance</v>
      </c>
      <c r="C693" s="5" t="str">
        <f ca="1">IFERROR(__xludf.DUMMYFUNCTION("AI(""Fill an appropriate value for this cell based on the table context"")"),"sad, miserable, forlorn")</f>
        <v>sad, miserable, forlorn</v>
      </c>
      <c r="D693" s="5" t="str">
        <f ca="1">IFERROR(__xludf.DUMMYFUNCTION("AI(""Fill an appropriate value for this cell based on the table context"")"),"The lost puppy sat by the curb with a woebegone expression on its face.")</f>
        <v>The lost puppy sat by the curb with a woebegone expression on its face.</v>
      </c>
      <c r="E693" s="5"/>
      <c r="F693" s="5"/>
      <c r="G693" s="5"/>
      <c r="H693" s="5"/>
      <c r="I693" s="5"/>
      <c r="J693" s="5"/>
      <c r="K693" s="5"/>
      <c r="L693" s="5"/>
      <c r="M693" s="5"/>
      <c r="N693" s="5"/>
      <c r="O693" s="5"/>
      <c r="P693" s="5"/>
      <c r="Q693" s="5"/>
      <c r="R693" s="5"/>
      <c r="S693" s="5"/>
      <c r="T693" s="5"/>
      <c r="U693" s="5"/>
      <c r="V693" s="5"/>
      <c r="W693" s="5"/>
      <c r="X693" s="5"/>
      <c r="Y693" s="5"/>
      <c r="Z693" s="5"/>
    </row>
    <row r="694" spans="1:26" ht="12.5" x14ac:dyDescent="0.25">
      <c r="A694" s="5" t="s">
        <v>1156</v>
      </c>
      <c r="B694" s="5" t="str">
        <f ca="1">IFERROR(__xludf.DUMMYFUNCTION("AI(""Fill an appropriate value for this cell based on the table context"")"),"defeat decisively")</f>
        <v>defeat decisively</v>
      </c>
      <c r="C694" s="5" t="str">
        <f ca="1">IFERROR(__xludf.DUMMYFUNCTION("AI(""Fill an appropriate value for this cell based on the table context"")"),"defeat, beat, rout")</f>
        <v>defeat, beat, rout</v>
      </c>
      <c r="D694" s="5" t="str">
        <f ca="1">IFERROR(__xludf.DUMMYFUNCTION("AI(""Fill an appropriate value for this cell based on the table context"")"),"The home team managed to trounce their opponents in a decisive fifty-point victory.")</f>
        <v>The home team managed to trounce their opponents in a decisive fifty-point victory.</v>
      </c>
      <c r="E694" s="5"/>
      <c r="F694" s="5"/>
      <c r="G694" s="5"/>
      <c r="H694" s="5"/>
      <c r="I694" s="5"/>
      <c r="J694" s="5"/>
      <c r="K694" s="5"/>
      <c r="L694" s="5"/>
      <c r="M694" s="5"/>
      <c r="N694" s="5"/>
      <c r="O694" s="5"/>
      <c r="P694" s="5"/>
      <c r="Q694" s="5"/>
      <c r="R694" s="5"/>
      <c r="S694" s="5"/>
      <c r="T694" s="5"/>
      <c r="U694" s="5"/>
      <c r="V694" s="5"/>
      <c r="W694" s="5"/>
      <c r="X694" s="5"/>
      <c r="Y694" s="5"/>
      <c r="Z694" s="5"/>
    </row>
    <row r="695" spans="1:26" ht="12.5" x14ac:dyDescent="0.25">
      <c r="A695" s="5" t="s">
        <v>1157</v>
      </c>
      <c r="B695" s="5" t="str">
        <f ca="1">IFERROR(__xludf.DUMMYFUNCTION("AI(""Fill an appropriate value for this cell based on the table context"")"),"ask or beg humbly and earnestly")</f>
        <v>ask or beg humbly and earnestly</v>
      </c>
      <c r="C695" s="5" t="str">
        <f ca="1">IFERROR(__xludf.DUMMYFUNCTION("AI(""Fill an appropriate value for this cell based on the table context"")"),"beg, beseech, implore")</f>
        <v>beg, beseech, implore</v>
      </c>
      <c r="D695" s="5" t="str">
        <f ca="1">IFERROR(__xludf.DUMMYFUNCTION("AI(""Fill an appropriate value for this cell based on the table context"")"),"The villagers gathered outside the castle gates to supplicate the king for relief during the famine.")</f>
        <v>The villagers gathered outside the castle gates to supplicate the king for relief during the famine.</v>
      </c>
      <c r="E695" s="5"/>
      <c r="F695" s="5"/>
      <c r="G695" s="5"/>
      <c r="H695" s="5"/>
      <c r="I695" s="5"/>
      <c r="J695" s="5"/>
      <c r="K695" s="5"/>
      <c r="L695" s="5"/>
      <c r="M695" s="5"/>
      <c r="N695" s="5"/>
      <c r="O695" s="5"/>
      <c r="P695" s="5"/>
      <c r="Q695" s="5"/>
      <c r="R695" s="5"/>
      <c r="S695" s="5"/>
      <c r="T695" s="5"/>
      <c r="U695" s="5"/>
      <c r="V695" s="5"/>
      <c r="W695" s="5"/>
      <c r="X695" s="5"/>
      <c r="Y695" s="5"/>
      <c r="Z695" s="5"/>
    </row>
    <row r="696" spans="1:26" ht="25" x14ac:dyDescent="0.25">
      <c r="A696" s="5" t="s">
        <v>1158</v>
      </c>
      <c r="B696" s="5" t="str">
        <f ca="1">IFERROR(__xludf.DUMMYFUNCTION("AI(""Fill an appropriate value for this cell based on the table context"")"),"making a show of being morally superior")</f>
        <v>making a show of being morally superior</v>
      </c>
      <c r="C696" s="5" t="str">
        <f ca="1">IFERROR(__xludf.DUMMYFUNCTION("AI(""Fill an appropriate value for this cell based on the table context"")"),"self-righteous, hypocritical, holier-than-thou")</f>
        <v>self-righteous, hypocritical, holier-than-thou</v>
      </c>
      <c r="D696" s="5" t="str">
        <f ca="1">IFERROR(__xludf.DUMMYFUNCTION("AI(""Fill an appropriate value for this cell based on the table context"")"),"Her sanctimonious attitude alienated her coworkers, who were tired of her self-righteous speeches.")</f>
        <v>Her sanctimonious attitude alienated her coworkers, who were tired of her self-righteous speeches.</v>
      </c>
      <c r="E696" s="5"/>
      <c r="F696" s="5"/>
      <c r="G696" s="5"/>
      <c r="H696" s="5"/>
      <c r="I696" s="5"/>
      <c r="J696" s="5"/>
      <c r="K696" s="5"/>
      <c r="L696" s="5"/>
      <c r="M696" s="5"/>
      <c r="N696" s="5"/>
      <c r="O696" s="5"/>
      <c r="P696" s="5"/>
      <c r="Q696" s="5"/>
      <c r="R696" s="5"/>
      <c r="S696" s="5"/>
      <c r="T696" s="5"/>
      <c r="U696" s="5"/>
      <c r="V696" s="5"/>
      <c r="W696" s="5"/>
      <c r="X696" s="5"/>
      <c r="Y696" s="5"/>
      <c r="Z696" s="5"/>
    </row>
    <row r="697" spans="1:26" ht="12.5" x14ac:dyDescent="0.25">
      <c r="A697" s="5" t="s">
        <v>1159</v>
      </c>
      <c r="B697" s="5" t="str">
        <f ca="1">IFERROR(__xludf.DUMMYFUNCTION("AI(""Fill an appropriate value for this cell based on the table context"")"),"lasting for an indefinitely long time")</f>
        <v>lasting for an indefinitely long time</v>
      </c>
      <c r="C697" s="5" t="str">
        <f ca="1">IFERROR(__xludf.DUMMYFUNCTION("AI(""Fill an appropriate value for this cell based on the table context"")"),"enduring, perpetual, everlasting")</f>
        <v>enduring, perpetual, everlasting</v>
      </c>
      <c r="D697" s="5" t="str">
        <f ca="1">IFERROR(__xludf.DUMMYFUNCTION("AI(""Fill an appropriate value for this cell based on the table context"")"),"Daffodils are a perennial favorite in spring gardens because they return year after year.")</f>
        <v>Daffodils are a perennial favorite in spring gardens because they return year after year.</v>
      </c>
      <c r="E697" s="5"/>
      <c r="F697" s="5"/>
      <c r="G697" s="5"/>
      <c r="H697" s="5"/>
      <c r="I697" s="5"/>
      <c r="J697" s="5"/>
      <c r="K697" s="5"/>
      <c r="L697" s="5"/>
      <c r="M697" s="5"/>
      <c r="N697" s="5"/>
      <c r="O697" s="5"/>
      <c r="P697" s="5"/>
      <c r="Q697" s="5"/>
      <c r="R697" s="5"/>
      <c r="S697" s="5"/>
      <c r="T697" s="5"/>
      <c r="U697" s="5"/>
      <c r="V697" s="5"/>
      <c r="W697" s="5"/>
      <c r="X697" s="5"/>
      <c r="Y697" s="5"/>
      <c r="Z697" s="5"/>
    </row>
    <row r="698" spans="1:26" ht="12.5" x14ac:dyDescent="0.25">
      <c r="A698" s="5" t="s">
        <v>1160</v>
      </c>
      <c r="B698" s="5" t="str">
        <f ca="1">IFERROR(__xludf.DUMMYFUNCTION("AI(""Fill an appropriate value for this cell based on the table context"")"),"reveal or show clearly")</f>
        <v>reveal or show clearly</v>
      </c>
      <c r="C698" s="5" t="str">
        <f ca="1">IFERROR(__xludf.DUMMYFUNCTION("AI(""Fill an appropriate value for this cell based on the table context"")"),"reveal, manifest, demonstrate")</f>
        <v>reveal, manifest, demonstrate</v>
      </c>
      <c r="D698" s="5" t="str">
        <f ca="1">IFERROR(__xludf.DUMMYFUNCTION("AI(""Fill an appropriate value for this cell based on the table context"")"),"The young scientist's detailed presentation evinced a deep understanding of complex quantum physics.")</f>
        <v>The young scientist's detailed presentation evinced a deep understanding of complex quantum physics.</v>
      </c>
      <c r="E698" s="5"/>
      <c r="F698" s="5"/>
      <c r="G698" s="5"/>
      <c r="H698" s="5"/>
      <c r="I698" s="5"/>
      <c r="J698" s="5"/>
      <c r="K698" s="5"/>
      <c r="L698" s="5"/>
      <c r="M698" s="5"/>
      <c r="N698" s="5"/>
      <c r="O698" s="5"/>
      <c r="P698" s="5"/>
      <c r="Q698" s="5"/>
      <c r="R698" s="5"/>
      <c r="S698" s="5"/>
      <c r="T698" s="5"/>
      <c r="U698" s="5"/>
      <c r="V698" s="5"/>
      <c r="W698" s="5"/>
      <c r="X698" s="5"/>
      <c r="Y698" s="5"/>
      <c r="Z698" s="5"/>
    </row>
    <row r="699" spans="1:26" ht="12.5" x14ac:dyDescent="0.25">
      <c r="A699" s="5" t="s">
        <v>1161</v>
      </c>
      <c r="B699" s="5" t="str">
        <f ca="1">IFERROR(__xludf.DUMMYFUNCTION("AI(""Fill an appropriate value for this cell based on the table context"")"),"a person who leads a dissolute life")</f>
        <v>a person who leads a dissolute life</v>
      </c>
      <c r="C699" s="5" t="str">
        <f ca="1">IFERROR(__xludf.DUMMYFUNCTION("AI(""Fill an appropriate value for this cell based on the table context"")"),"profligate, debauchee, roué")</f>
        <v>profligate, debauchee, roué</v>
      </c>
      <c r="D699" s="5" t="str">
        <f ca="1">IFERROR(__xludf.DUMMYFUNCTION("AI(""Fill an appropriate value for this cell based on the table context"")"),"He led a libertine lifestyle, spending his nights in reckless extravagance and endless parties.")</f>
        <v>He led a libertine lifestyle, spending his nights in reckless extravagance and endless parties.</v>
      </c>
      <c r="E699" s="5"/>
      <c r="F699" s="5"/>
      <c r="G699" s="5"/>
      <c r="H699" s="5"/>
      <c r="I699" s="5"/>
      <c r="J699" s="5"/>
      <c r="K699" s="5"/>
      <c r="L699" s="5"/>
      <c r="M699" s="5"/>
      <c r="N699" s="5"/>
      <c r="O699" s="5"/>
      <c r="P699" s="5"/>
      <c r="Q699" s="5"/>
      <c r="R699" s="5"/>
      <c r="S699" s="5"/>
      <c r="T699" s="5"/>
      <c r="U699" s="5"/>
      <c r="V699" s="5"/>
      <c r="W699" s="5"/>
      <c r="X699" s="5"/>
      <c r="Y699" s="5"/>
      <c r="Z699" s="5"/>
    </row>
    <row r="700" spans="1:26" ht="12.5" x14ac:dyDescent="0.25">
      <c r="A700" s="5" t="s">
        <v>1162</v>
      </c>
      <c r="B700" s="5" t="str">
        <f ca="1">IFERROR(__xludf.DUMMYFUNCTION("AI(""Fill an appropriate value for this cell based on the table context"")"),"a dissolute or immoral man")</f>
        <v>a dissolute or immoral man</v>
      </c>
      <c r="C700" s="5" t="str">
        <f ca="1">IFERROR(__xludf.DUMMYFUNCTION("AI(""Fill an appropriate value for this cell based on the table context"")"),"libertine, profligate, playboy")</f>
        <v>libertine, profligate, playboy</v>
      </c>
      <c r="D700" s="5" t="str">
        <f ca="1">IFERROR(__xludf.DUMMYFUNCTION("AI(""Fill an appropriate value for this cell based on the table context"")"),"In classic literature, the charming rake eventually regretted his profligate ways.")</f>
        <v>In classic literature, the charming rake eventually regretted his profligate ways.</v>
      </c>
      <c r="E700" s="5"/>
      <c r="F700" s="5"/>
      <c r="G700" s="5"/>
      <c r="H700" s="5"/>
      <c r="I700" s="5"/>
      <c r="J700" s="5"/>
      <c r="K700" s="5"/>
      <c r="L700" s="5"/>
      <c r="M700" s="5"/>
      <c r="N700" s="5"/>
      <c r="O700" s="5"/>
      <c r="P700" s="5"/>
      <c r="Q700" s="5"/>
      <c r="R700" s="5"/>
      <c r="S700" s="5"/>
      <c r="T700" s="5"/>
      <c r="U700" s="5"/>
      <c r="V700" s="5"/>
      <c r="W700" s="5"/>
      <c r="X700" s="5"/>
      <c r="Y700" s="5"/>
      <c r="Z700" s="5"/>
    </row>
    <row r="701" spans="1:26" ht="12.5" x14ac:dyDescent="0.25">
      <c r="A701" s="5" t="s">
        <v>1163</v>
      </c>
      <c r="B701" s="5" t="str">
        <f ca="1">IFERROR(__xludf.DUMMYFUNCTION("AI(""Fill an appropriate value for this cell based on the table context"")"),"a man who has many casual affairs")</f>
        <v>a man who has many casual affairs</v>
      </c>
      <c r="C701" s="5" t="str">
        <f ca="1">IFERROR(__xludf.DUMMYFUNCTION("AI(""Fill an appropriate value for this cell based on the table context"")"),"womanizer, casanova, playboy")</f>
        <v>womanizer, casanova, playboy</v>
      </c>
      <c r="D701" s="5" t="str">
        <f ca="1">IFERROR(__xludf.DUMMYFUNCTION("AI(""Fill an appropriate value for this cell based on the table context"")"),"The scandal exposed him as a philanderer who had broken promises to multiple partners.")</f>
        <v>The scandal exposed him as a philanderer who had broken promises to multiple partners.</v>
      </c>
      <c r="E701" s="5"/>
      <c r="F701" s="5"/>
      <c r="G701" s="5"/>
      <c r="H701" s="5"/>
      <c r="I701" s="5"/>
      <c r="J701" s="5"/>
      <c r="K701" s="5"/>
      <c r="L701" s="5"/>
      <c r="M701" s="5"/>
      <c r="N701" s="5"/>
      <c r="O701" s="5"/>
      <c r="P701" s="5"/>
      <c r="Q701" s="5"/>
      <c r="R701" s="5"/>
      <c r="S701" s="5"/>
      <c r="T701" s="5"/>
      <c r="U701" s="5"/>
      <c r="V701" s="5"/>
      <c r="W701" s="5"/>
      <c r="X701" s="5"/>
      <c r="Y701" s="5"/>
      <c r="Z701" s="5"/>
    </row>
    <row r="702" spans="1:26" ht="12.5" x14ac:dyDescent="0.25">
      <c r="A702" s="5" t="s">
        <v>1164</v>
      </c>
      <c r="B702" s="5" t="str">
        <f ca="1">IFERROR(__xludf.DUMMYFUNCTION("AI(""Fill an appropriate value for this cell based on the table context"")"),"generosity in bestowing money or gifts")</f>
        <v>generosity in bestowing money or gifts</v>
      </c>
      <c r="C702" s="5" t="str">
        <f ca="1">IFERROR(__xludf.DUMMYFUNCTION("AI(""Fill an appropriate value for this cell based on the table context"")"),"generosity, munificence, bounty")</f>
        <v>generosity, munificence, bounty</v>
      </c>
      <c r="D702" s="5" t="str">
        <f ca="1">IFERROR(__xludf.DUMMYFUNCTION("AI(""Fill an appropriate value for this cell based on the table context"")"),"Thanks to the philanthropist's incredible largesse, the local library was fully renovated.")</f>
        <v>Thanks to the philanthropist's incredible largesse, the local library was fully renovated.</v>
      </c>
      <c r="E702" s="5"/>
      <c r="F702" s="5"/>
      <c r="G702" s="5"/>
      <c r="H702" s="5"/>
      <c r="I702" s="5"/>
      <c r="J702" s="5"/>
      <c r="K702" s="5"/>
      <c r="L702" s="5"/>
      <c r="M702" s="5"/>
      <c r="N702" s="5"/>
      <c r="O702" s="5"/>
      <c r="P702" s="5"/>
      <c r="Q702" s="5"/>
      <c r="R702" s="5"/>
      <c r="S702" s="5"/>
      <c r="T702" s="5"/>
      <c r="U702" s="5"/>
      <c r="V702" s="5"/>
      <c r="W702" s="5"/>
      <c r="X702" s="5"/>
      <c r="Y702" s="5"/>
      <c r="Z702" s="5"/>
    </row>
    <row r="703" spans="1:26" ht="12.5" x14ac:dyDescent="0.25">
      <c r="A703" s="5" t="s">
        <v>1165</v>
      </c>
      <c r="B703" s="5" t="str">
        <f ca="1">IFERROR(__xludf.DUMMYFUNCTION("AI(""Fill an appropriate value for this cell based on the table context"")"),"side by side and facing forward")</f>
        <v>side by side and facing forward</v>
      </c>
      <c r="C703" s="5" t="str">
        <f ca="1">IFERROR(__xludf.DUMMYFUNCTION("AI(""Fill an appropriate value for this cell based on the table context"")"),"informed, conversant, up-to-date")</f>
        <v>informed, conversant, up-to-date</v>
      </c>
      <c r="D703" s="5" t="str">
        <f ca="1">IFERROR(__xludf.DUMMYFUNCTION("AI(""Fill an appropriate value for this cell based on the table context"")"),"She read industry news daily to stay abreast of the latest technological developments.")</f>
        <v>She read industry news daily to stay abreast of the latest technological developments.</v>
      </c>
      <c r="E703" s="5"/>
      <c r="F703" s="5"/>
      <c r="G703" s="5"/>
      <c r="H703" s="5"/>
      <c r="I703" s="5"/>
      <c r="J703" s="5"/>
      <c r="K703" s="5"/>
      <c r="L703" s="5"/>
      <c r="M703" s="5"/>
      <c r="N703" s="5"/>
      <c r="O703" s="5"/>
      <c r="P703" s="5"/>
      <c r="Q703" s="5"/>
      <c r="R703" s="5"/>
      <c r="S703" s="5"/>
      <c r="T703" s="5"/>
      <c r="U703" s="5"/>
      <c r="V703" s="5"/>
      <c r="W703" s="5"/>
      <c r="X703" s="5"/>
      <c r="Y703" s="5"/>
      <c r="Z703" s="5"/>
    </row>
    <row r="704" spans="1:26" ht="12.5" x14ac:dyDescent="0.25">
      <c r="A704" s="5" t="s">
        <v>1166</v>
      </c>
      <c r="B704" s="5" t="str">
        <f ca="1">IFERROR(__xludf.DUMMYFUNCTION("AI(""Fill an appropriate value for this cell based on the table context"")"),"familiar with or knowledgeable about something")</f>
        <v>familiar with or knowledgeable about something</v>
      </c>
      <c r="C704" s="5" t="str">
        <f ca="1">IFERROR(__xludf.DUMMYFUNCTION("AI(""Fill an appropriate value for this cell based on the table context"")"),"familiar, acquainted, knowledgeable")</f>
        <v>familiar, acquainted, knowledgeable</v>
      </c>
      <c r="D704" s="5" t="str">
        <f ca="1">IFERROR(__xludf.DUMMYFUNCTION("AI(""Fill an appropriate value for this cell based on the table context"")"),"She is fully conversant with the company's new policies and procedures.")</f>
        <v>She is fully conversant with the company's new policies and procedures.</v>
      </c>
      <c r="E704" s="5"/>
      <c r="F704" s="5"/>
      <c r="G704" s="5"/>
      <c r="H704" s="5"/>
      <c r="I704" s="5"/>
      <c r="J704" s="5"/>
      <c r="K704" s="5"/>
      <c r="L704" s="5"/>
      <c r="M704" s="5"/>
      <c r="N704" s="5"/>
      <c r="O704" s="5"/>
      <c r="P704" s="5"/>
      <c r="Q704" s="5"/>
      <c r="R704" s="5"/>
      <c r="S704" s="5"/>
      <c r="T704" s="5"/>
      <c r="U704" s="5"/>
      <c r="V704" s="5"/>
      <c r="W704" s="5"/>
      <c r="X704" s="5"/>
      <c r="Y704" s="5"/>
      <c r="Z704" s="5"/>
    </row>
    <row r="705" spans="1:26" ht="12.5" x14ac:dyDescent="0.25">
      <c r="A705" s="5" t="s">
        <v>1167</v>
      </c>
      <c r="B705" s="5" t="str">
        <f ca="1">IFERROR(__xludf.DUMMYFUNCTION("AI(""Fill an appropriate value for this cell based on the table context"")"),"a debauched or dissolute man; a rake")</f>
        <v>a debauched or dissolute man; a rake</v>
      </c>
      <c r="C705" s="5" t="str">
        <f ca="1">IFERROR(__xludf.DUMMYFUNCTION("AI(""Fill an appropriate value for this cell based on the table context"")"),"rake, libertine, profligate")</f>
        <v>rake, libertine, profligate</v>
      </c>
      <c r="D705" s="5" t="str">
        <f ca="1">IFERROR(__xludf.DUMMYFUNCTION("AI(""Fill an appropriate value for this cell based on the table context"")"),"The old roué spent his fortune on lavish parties and reckless gambling.")</f>
        <v>The old roué spent his fortune on lavish parties and reckless gambling.</v>
      </c>
      <c r="E705" s="5"/>
      <c r="F705" s="5"/>
      <c r="G705" s="5"/>
      <c r="H705" s="5"/>
      <c r="I705" s="5"/>
      <c r="J705" s="5"/>
      <c r="K705" s="5"/>
      <c r="L705" s="5"/>
      <c r="M705" s="5"/>
      <c r="N705" s="5"/>
      <c r="O705" s="5"/>
      <c r="P705" s="5"/>
      <c r="Q705" s="5"/>
      <c r="R705" s="5"/>
      <c r="S705" s="5"/>
      <c r="T705" s="5"/>
      <c r="U705" s="5"/>
      <c r="V705" s="5"/>
      <c r="W705" s="5"/>
      <c r="X705" s="5"/>
      <c r="Y705" s="5"/>
      <c r="Z705" s="5"/>
    </row>
    <row r="706" spans="1:26" ht="12.5" x14ac:dyDescent="0.25">
      <c r="A706" s="5" t="s">
        <v>1168</v>
      </c>
      <c r="B706" s="5" t="str">
        <f ca="1">IFERROR(__xludf.DUMMYFUNCTION("AI(""Fill an appropriate value for this cell based on the table context"")"),"breaking out again or becoming active after a period of inactivity")</f>
        <v>breaking out again or becoming active after a period of inactivity</v>
      </c>
      <c r="C706" s="5" t="str">
        <f ca="1">IFERROR(__xludf.DUMMYFUNCTION("AI(""Fill an appropriate value for this cell based on the table context"")"),"resurgent, relapsing, renewed")</f>
        <v>resurgent, relapsing, renewed</v>
      </c>
      <c r="D706" s="5" t="str">
        <f ca="1">IFERROR(__xludf.DUMMYFUNCTION("AI(""Fill an appropriate value for this cell based on the table context"")"),"Public health officials warned of a recrudescent outbreak of the virus during the winter.")</f>
        <v>Public health officials warned of a recrudescent outbreak of the virus during the winter.</v>
      </c>
      <c r="E706" s="5"/>
      <c r="F706" s="5"/>
      <c r="G706" s="5"/>
      <c r="H706" s="5"/>
      <c r="I706" s="5"/>
      <c r="J706" s="5"/>
      <c r="K706" s="5"/>
      <c r="L706" s="5"/>
      <c r="M706" s="5"/>
      <c r="N706" s="5"/>
      <c r="O706" s="5"/>
      <c r="P706" s="5"/>
      <c r="Q706" s="5"/>
      <c r="R706" s="5"/>
      <c r="S706" s="5"/>
      <c r="T706" s="5"/>
      <c r="U706" s="5"/>
      <c r="V706" s="5"/>
      <c r="W706" s="5"/>
      <c r="X706" s="5"/>
      <c r="Y706" s="5"/>
      <c r="Z706" s="5"/>
    </row>
    <row r="707" spans="1:26" ht="12.5" x14ac:dyDescent="0.25">
      <c r="A707" s="5" t="s">
        <v>1169</v>
      </c>
      <c r="B707" s="5" t="str">
        <f ca="1">IFERROR(__xludf.DUMMYFUNCTION("AI(""Fill an appropriate value for this cell based on the table context"")"),"untruthfulness or a tendency to lie")</f>
        <v>untruthfulness or a tendency to lie</v>
      </c>
      <c r="C707" s="5" t="str">
        <f ca="1">IFERROR(__xludf.DUMMYFUNCTION("AI(""Fill an appropriate value for this cell based on the table context"")"),"deceit, dishonesty, falsehood")</f>
        <v>deceit, dishonesty, falsehood</v>
      </c>
      <c r="D707" s="5" t="str">
        <f ca="1">IFERROR(__xludf.DUMMYFUNCTION("AI(""Fill an appropriate value for this cell based on the table context"")"),"The politician was notorious for his mendacity and habit of distorting basic facts.")</f>
        <v>The politician was notorious for his mendacity and habit of distorting basic facts.</v>
      </c>
      <c r="E707" s="5"/>
      <c r="F707" s="5"/>
      <c r="G707" s="5"/>
      <c r="H707" s="5"/>
      <c r="I707" s="5"/>
      <c r="J707" s="5"/>
      <c r="K707" s="5"/>
      <c r="L707" s="5"/>
      <c r="M707" s="5"/>
      <c r="N707" s="5"/>
      <c r="O707" s="5"/>
      <c r="P707" s="5"/>
      <c r="Q707" s="5"/>
      <c r="R707" s="5"/>
      <c r="S707" s="5"/>
      <c r="T707" s="5"/>
      <c r="U707" s="5"/>
      <c r="V707" s="5"/>
      <c r="W707" s="5"/>
      <c r="X707" s="5"/>
      <c r="Y707" s="5"/>
      <c r="Z707" s="5"/>
    </row>
    <row r="708" spans="1:26" ht="12.5" x14ac:dyDescent="0.25">
      <c r="A708" s="5" t="s">
        <v>1170</v>
      </c>
      <c r="B708" s="5" t="str">
        <f ca="1">IFERROR(__xludf.DUMMYFUNCTION("AI(""Fill an appropriate value for this cell based on the table context"")"),"persuade someone to do something by deception or flattery")</f>
        <v>persuade someone to do something by deception or flattery</v>
      </c>
      <c r="C708" s="5" t="str">
        <f ca="1">IFERROR(__xludf.DUMMYFUNCTION("AI(""Fill an appropriate value for this cell based on the table context"")"),"cajole, coax, entice")</f>
        <v>cajole, coax, entice</v>
      </c>
      <c r="D708" s="5" t="str">
        <f ca="1">IFERROR(__xludf.DUMMYFUNCTION("AI(""Fill an appropriate value for this cell based on the table context"")"),"She managed to inveigle her way into the VIP lounge with clever flattery.")</f>
        <v>She managed to inveigle her way into the VIP lounge with clever flattery.</v>
      </c>
      <c r="E708" s="5"/>
      <c r="F708" s="5"/>
      <c r="G708" s="5"/>
      <c r="H708" s="5"/>
      <c r="I708" s="5"/>
      <c r="J708" s="5"/>
      <c r="K708" s="5"/>
      <c r="L708" s="5"/>
      <c r="M708" s="5"/>
      <c r="N708" s="5"/>
      <c r="O708" s="5"/>
      <c r="P708" s="5"/>
      <c r="Q708" s="5"/>
      <c r="R708" s="5"/>
      <c r="S708" s="5"/>
      <c r="T708" s="5"/>
      <c r="U708" s="5"/>
      <c r="V708" s="5"/>
      <c r="W708" s="5"/>
      <c r="X708" s="5"/>
      <c r="Y708" s="5"/>
      <c r="Z708" s="5"/>
    </row>
    <row r="709" spans="1:26" ht="12.5" x14ac:dyDescent="0.25">
      <c r="A709" s="5" t="s">
        <v>1171</v>
      </c>
      <c r="B709" s="5" t="str">
        <f ca="1">IFERROR(__xludf.DUMMYFUNCTION("AI(""Fill an appropriate value for this cell based on the table context"")"),"erring or straying from the proper course")</f>
        <v>erring or straying from the proper course</v>
      </c>
      <c r="C709" s="5" t="str">
        <f ca="1">IFERROR(__xludf.DUMMYFUNCTION("AI(""Fill an appropriate value for this cell based on the table context"")"),"straying, wayward, aberrant")</f>
        <v>straying, wayward, aberrant</v>
      </c>
      <c r="D709" s="5" t="str">
        <f ca="1">IFERROR(__xludf.DUMMYFUNCTION("AI(""Fill an appropriate value for this cell based on the table context"")"),"An errant golf ball flew over the fence and smashed through the neighbor's window.")</f>
        <v>An errant golf ball flew over the fence and smashed through the neighbor's window.</v>
      </c>
      <c r="E709" s="5"/>
      <c r="F709" s="5"/>
      <c r="G709" s="5"/>
      <c r="H709" s="5"/>
      <c r="I709" s="5"/>
      <c r="J709" s="5"/>
      <c r="K709" s="5"/>
      <c r="L709" s="5"/>
      <c r="M709" s="5"/>
      <c r="N709" s="5"/>
      <c r="O709" s="5"/>
      <c r="P709" s="5"/>
      <c r="Q709" s="5"/>
      <c r="R709" s="5"/>
      <c r="S709" s="5"/>
      <c r="T709" s="5"/>
      <c r="U709" s="5"/>
      <c r="V709" s="5"/>
      <c r="W709" s="5"/>
      <c r="X709" s="5"/>
      <c r="Y709" s="5"/>
      <c r="Z709" s="5"/>
    </row>
    <row r="710" spans="1:26" ht="12.5" x14ac:dyDescent="0.25">
      <c r="A710" s="5" t="s">
        <v>1172</v>
      </c>
      <c r="B710" s="5" t="str">
        <f ca="1">IFERROR(__xludf.DUMMYFUNCTION("AI(""Fill an appropriate value for this cell based on the table context"")"),"make someone feel confused or embarrassed")</f>
        <v>make someone feel confused or embarrassed</v>
      </c>
      <c r="C710" s="5" t="str">
        <f ca="1">IFERROR(__xludf.DUMMYFUNCTION("AI(""Fill an appropriate value for this cell based on the table context"")"),"disconcert, embarrass, thwart")</f>
        <v>disconcert, embarrass, thwart</v>
      </c>
      <c r="D710" s="5" t="str">
        <f ca="1">IFERROR(__xludf.DUMMYFUNCTION("AI(""Fill an appropriate value for this cell based on the table context"")"),"The sudden line of questioning began to discomfit the witness on the stand.")</f>
        <v>The sudden line of questioning began to discomfit the witness on the stand.</v>
      </c>
      <c r="E710" s="5"/>
      <c r="F710" s="5"/>
      <c r="G710" s="5"/>
      <c r="H710" s="5"/>
      <c r="I710" s="5"/>
      <c r="J710" s="5"/>
      <c r="K710" s="5"/>
      <c r="L710" s="5"/>
      <c r="M710" s="5"/>
      <c r="N710" s="5"/>
      <c r="O710" s="5"/>
      <c r="P710" s="5"/>
      <c r="Q710" s="5"/>
      <c r="R710" s="5"/>
      <c r="S710" s="5"/>
      <c r="T710" s="5"/>
      <c r="U710" s="5"/>
      <c r="V710" s="5"/>
      <c r="W710" s="5"/>
      <c r="X710" s="5"/>
      <c r="Y710" s="5"/>
      <c r="Z710" s="5"/>
    </row>
    <row r="711" spans="1:26" ht="12.5" x14ac:dyDescent="0.25">
      <c r="A711" s="5" t="s">
        <v>1173</v>
      </c>
      <c r="B711" s="5" t="str">
        <f ca="1">IFERROR(__xludf.DUMMYFUNCTION("AI(""Fill an appropriate value for this cell based on the table context"")"),"grossly unfair and morally wrong")</f>
        <v>grossly unfair and morally wrong</v>
      </c>
      <c r="C711" s="5" t="str">
        <f ca="1">IFERROR(__xludf.DUMMYFUNCTION("AI(""Fill an appropriate value for this cell based on the table context"")"),"wicked, immoral, sinful")</f>
        <v>wicked, immoral, sinful</v>
      </c>
      <c r="D711" s="5" t="str">
        <f ca="1">IFERROR(__xludf.DUMMYFUNCTION("AI(""Fill an appropriate value for this cell based on the table context"")"),"The critics denounced the proposal as an iniquitous policy that harmed vulnerable citizens.")</f>
        <v>The critics denounced the proposal as an iniquitous policy that harmed vulnerable citizens.</v>
      </c>
      <c r="E711" s="5"/>
      <c r="F711" s="5"/>
      <c r="G711" s="5"/>
      <c r="H711" s="5"/>
      <c r="I711" s="5"/>
      <c r="J711" s="5"/>
      <c r="K711" s="5"/>
      <c r="L711" s="5"/>
      <c r="M711" s="5"/>
      <c r="N711" s="5"/>
      <c r="O711" s="5"/>
      <c r="P711" s="5"/>
      <c r="Q711" s="5"/>
      <c r="R711" s="5"/>
      <c r="S711" s="5"/>
      <c r="T711" s="5"/>
      <c r="U711" s="5"/>
      <c r="V711" s="5"/>
      <c r="W711" s="5"/>
      <c r="X711" s="5"/>
      <c r="Y711" s="5"/>
      <c r="Z711" s="5"/>
    </row>
    <row r="712" spans="1:26" ht="12.5" x14ac:dyDescent="0.25">
      <c r="A712" s="5" t="s">
        <v>1174</v>
      </c>
      <c r="B712" s="5" t="str">
        <f ca="1">IFERROR(__xludf.DUMMYFUNCTION("AI(""Fill an appropriate value for this cell based on the table context"")"),"being truly or genuinely the thing named; authentic")</f>
        <v>being truly or genuinely the thing named; authentic</v>
      </c>
      <c r="C712" s="5" t="str">
        <f ca="1">IFERROR(__xludf.DUMMYFUNCTION("AI(""Fill an appropriate value for this cell based on the table context"")"),"real, genuine, authentic")</f>
        <v>real, genuine, authentic</v>
      </c>
      <c r="D712" s="5" t="str">
        <f ca="1">IFERROR(__xludf.DUMMYFUNCTION("AI(""Fill an appropriate value for this cell based on the table context"")"),"The small antique shop was a veritable treasure trove of rare books and historical artifacts.")</f>
        <v>The small antique shop was a veritable treasure trove of rare books and historical artifacts.</v>
      </c>
      <c r="E712" s="5"/>
      <c r="F712" s="5"/>
      <c r="G712" s="5"/>
      <c r="H712" s="5"/>
      <c r="I712" s="5"/>
      <c r="J712" s="5"/>
      <c r="K712" s="5"/>
      <c r="L712" s="5"/>
      <c r="M712" s="5"/>
      <c r="N712" s="5"/>
      <c r="O712" s="5"/>
      <c r="P712" s="5"/>
      <c r="Q712" s="5"/>
      <c r="R712" s="5"/>
      <c r="S712" s="5"/>
      <c r="T712" s="5"/>
      <c r="U712" s="5"/>
      <c r="V712" s="5"/>
      <c r="W712" s="5"/>
      <c r="X712" s="5"/>
      <c r="Y712" s="5"/>
      <c r="Z712" s="5"/>
    </row>
    <row r="713" spans="1:26" ht="12.5" x14ac:dyDescent="0.25">
      <c r="A713" s="5" t="s">
        <v>1175</v>
      </c>
      <c r="B713" s="5" t="str">
        <f ca="1">IFERROR(__xludf.DUMMYFUNCTION("AI(""Fill an appropriate value for this cell based on the table context"")"),"a military officer who assists a commanding officer")</f>
        <v>a military officer who assists a commanding officer</v>
      </c>
      <c r="C713" s="5" t="str">
        <f ca="1">IFERROR(__xludf.DUMMYFUNCTION("AI(""Fill an appropriate value for this cell based on the table context"")"),"assistant, aide, deputy")</f>
        <v>assistant, aide, deputy</v>
      </c>
      <c r="D713" s="5" t="str">
        <f ca="1">IFERROR(__xludf.DUMMYFUNCTION("AI(""Fill an appropriate value for this cell based on the table context"")"),"The officer relied heavily on his trusted adjutant to handle the regiment's administrative duties.")</f>
        <v>The officer relied heavily on his trusted adjutant to handle the regiment's administrative duties.</v>
      </c>
      <c r="E713" s="5"/>
      <c r="F713" s="5"/>
      <c r="G713" s="5"/>
      <c r="H713" s="5"/>
      <c r="I713" s="5"/>
      <c r="J713" s="5"/>
      <c r="K713" s="5"/>
      <c r="L713" s="5"/>
      <c r="M713" s="5"/>
      <c r="N713" s="5"/>
      <c r="O713" s="5"/>
      <c r="P713" s="5"/>
      <c r="Q713" s="5"/>
      <c r="R713" s="5"/>
      <c r="S713" s="5"/>
      <c r="T713" s="5"/>
      <c r="U713" s="5"/>
      <c r="V713" s="5"/>
      <c r="W713" s="5"/>
      <c r="X713" s="5"/>
      <c r="Y713" s="5"/>
      <c r="Z713" s="5"/>
    </row>
    <row r="714" spans="1:26" ht="12.5" x14ac:dyDescent="0.25">
      <c r="A714" s="5" t="s">
        <v>1176</v>
      </c>
      <c r="B714" s="5" t="str">
        <f ca="1">IFERROR(__xludf.DUMMYFUNCTION("AI(""Fill an appropriate value for this cell based on the table context"")"),"using or containing too many words; tediously lengthy")</f>
        <v>using or containing too many words; tediously lengthy</v>
      </c>
      <c r="C714" s="5" t="str">
        <f ca="1">IFERROR(__xludf.DUMMYFUNCTION("AI(""Fill an appropriate value for this cell based on the table context"")"),"verbose, wordy, long-winded")</f>
        <v>verbose, wordy, long-winded</v>
      </c>
      <c r="D714" s="5" t="str">
        <f ca="1">IFERROR(__xludf.DUMMYFUNCTION("AI(""Fill an appropriate value for this cell based on the table context"")"),"The professor's prolix lecture bored the students and ran well past the scheduled time.")</f>
        <v>The professor's prolix lecture bored the students and ran well past the scheduled time.</v>
      </c>
      <c r="E714" s="5"/>
      <c r="F714" s="5"/>
      <c r="G714" s="5"/>
      <c r="H714" s="5"/>
      <c r="I714" s="5"/>
      <c r="J714" s="5"/>
      <c r="K714" s="5"/>
      <c r="L714" s="5"/>
      <c r="M714" s="5"/>
      <c r="N714" s="5"/>
      <c r="O714" s="5"/>
      <c r="P714" s="5"/>
      <c r="Q714" s="5"/>
      <c r="R714" s="5"/>
      <c r="S714" s="5"/>
      <c r="T714" s="5"/>
      <c r="U714" s="5"/>
      <c r="V714" s="5"/>
      <c r="W714" s="5"/>
      <c r="X714" s="5"/>
      <c r="Y714" s="5"/>
      <c r="Z714" s="5"/>
    </row>
    <row r="715" spans="1:26" ht="12.5" x14ac:dyDescent="0.25">
      <c r="A715" s="5" t="s">
        <v>1177</v>
      </c>
      <c r="B715" s="5" t="str">
        <f ca="1">IFERROR(__xludf.DUMMYFUNCTION("AI(""Fill an appropriate value for this cell based on the table context"")"),"lasting for a long time or longer than expected")</f>
        <v>lasting for a long time or longer than expected</v>
      </c>
      <c r="C715" s="5" t="str">
        <f ca="1">IFERROR(__xludf.DUMMYFUNCTION("AI(""Fill an appropriate value for this cell based on the table context"")"),"prolonged, extended, lengthy")</f>
        <v>prolonged, extended, lengthy</v>
      </c>
      <c r="D715" s="5" t="str">
        <f ca="1">IFERROR(__xludf.DUMMYFUNCTION("AI(""Fill an appropriate value for this cell based on the table context"")"),"The two companies finally reached an agreement after months of protracted negotiations.")</f>
        <v>The two companies finally reached an agreement after months of protracted negotiations.</v>
      </c>
      <c r="E715" s="5"/>
      <c r="F715" s="5"/>
      <c r="G715" s="5"/>
      <c r="H715" s="5"/>
      <c r="I715" s="5"/>
      <c r="J715" s="5"/>
      <c r="K715" s="5"/>
      <c r="L715" s="5"/>
      <c r="M715" s="5"/>
      <c r="N715" s="5"/>
      <c r="O715" s="5"/>
      <c r="P715" s="5"/>
      <c r="Q715" s="5"/>
      <c r="R715" s="5"/>
      <c r="S715" s="5"/>
      <c r="T715" s="5"/>
      <c r="U715" s="5"/>
      <c r="V715" s="5"/>
      <c r="W715" s="5"/>
      <c r="X715" s="5"/>
      <c r="Y715" s="5"/>
      <c r="Z715" s="5"/>
    </row>
    <row r="716" spans="1:26" ht="12.5" x14ac:dyDescent="0.25">
      <c r="A716" s="5" t="s">
        <v>1178</v>
      </c>
      <c r="B716" s="5" t="str">
        <f ca="1">IFERROR(__xludf.DUMMYFUNCTION("AI(""Fill an appropriate value for this cell based on the table context"")"),"extremely poisonous, infectious, or bitterly hostile")</f>
        <v>extremely poisonous, infectious, or bitterly hostile</v>
      </c>
      <c r="C716" s="5" t="str">
        <f ca="1">IFERROR(__xludf.DUMMYFUNCTION("AI(""Fill an appropriate value for this cell based on the table context"")"),"poisonous, toxic, venomous")</f>
        <v>poisonous, toxic, venomous</v>
      </c>
      <c r="D716" s="5" t="str">
        <f ca="1">IFERROR(__xludf.DUMMYFUNCTION("AI(""Fill an appropriate value for this cell based on the table context"")"),"The medical team worked tirelessly to contain the spread of the virulent strain of flu.")</f>
        <v>The medical team worked tirelessly to contain the spread of the virulent strain of flu.</v>
      </c>
      <c r="E716" s="5"/>
      <c r="F716" s="5"/>
      <c r="G716" s="5"/>
      <c r="H716" s="5"/>
      <c r="I716" s="5"/>
      <c r="J716" s="5"/>
      <c r="K716" s="5"/>
      <c r="L716" s="5"/>
      <c r="M716" s="5"/>
      <c r="N716" s="5"/>
      <c r="O716" s="5"/>
      <c r="P716" s="5"/>
      <c r="Q716" s="5"/>
      <c r="R716" s="5"/>
      <c r="S716" s="5"/>
      <c r="T716" s="5"/>
      <c r="U716" s="5"/>
      <c r="V716" s="5"/>
      <c r="W716" s="5"/>
      <c r="X716" s="5"/>
      <c r="Y716" s="5"/>
      <c r="Z716" s="5"/>
    </row>
    <row r="717" spans="1:26" ht="12.5" x14ac:dyDescent="0.25">
      <c r="A717" s="5" t="s">
        <v>1179</v>
      </c>
      <c r="B717" s="5" t="str">
        <f ca="1">IFERROR(__xludf.DUMMYFUNCTION("AI(""Fill an appropriate value for this cell based on the table context"")"),"a metal band or shackle for fastening someone's hands")</f>
        <v>a metal band or shackle for fastening someone's hands</v>
      </c>
      <c r="C717" s="5" t="str">
        <f ca="1">IFERROR(__xludf.DUMMYFUNCTION("AI(""Fill an appropriate value for this cell based on the table context"")"),"handcuff, shackle, fetter")</f>
        <v>handcuff, shackle, fetter</v>
      </c>
      <c r="D717" s="5" t="str">
        <f ca="1">IFERROR(__xludf.DUMMYFUNCTION("AI(""Fill an appropriate value for this cell based on the table context"")"),"The guards placed heavy iron manacles around the prisoner's wrists before transport.")</f>
        <v>The guards placed heavy iron manacles around the prisoner's wrists before transport.</v>
      </c>
      <c r="E717" s="5"/>
      <c r="F717" s="5"/>
      <c r="G717" s="5"/>
      <c r="H717" s="5"/>
      <c r="I717" s="5"/>
      <c r="J717" s="5"/>
      <c r="K717" s="5"/>
      <c r="L717" s="5"/>
      <c r="M717" s="5"/>
      <c r="N717" s="5"/>
      <c r="O717" s="5"/>
      <c r="P717" s="5"/>
      <c r="Q717" s="5"/>
      <c r="R717" s="5"/>
      <c r="S717" s="5"/>
      <c r="T717" s="5"/>
      <c r="U717" s="5"/>
      <c r="V717" s="5"/>
      <c r="W717" s="5"/>
      <c r="X717" s="5"/>
      <c r="Y717" s="5"/>
      <c r="Z717" s="5"/>
    </row>
    <row r="718" spans="1:26" ht="12.5" x14ac:dyDescent="0.25">
      <c r="A718" s="5" t="s">
        <v>1180</v>
      </c>
      <c r="B718" s="5" t="str">
        <f ca="1">IFERROR(__xludf.DUMMYFUNCTION("AI(""Fill an appropriate value for this cell based on the table context"")"),"walk or move at a slow, relaxed pace")</f>
        <v>walk or move at a slow, relaxed pace</v>
      </c>
      <c r="C718" s="5" t="str">
        <f ca="1">IFERROR(__xludf.DUMMYFUNCTION("AI(""Fill an appropriate value for this cell based on the table context"")"),"stroll, saunter, wander")</f>
        <v>stroll, saunter, wander</v>
      </c>
      <c r="D718" s="5" t="str">
        <f ca="1">IFERROR(__xludf.DUMMYFUNCTION("AI(""Fill an appropriate value for this cell based on the table context"")"),"We decided to amble through the quiet park and enjoy the cool evening breeze.")</f>
        <v>We decided to amble through the quiet park and enjoy the cool evening breeze.</v>
      </c>
      <c r="E718" s="5"/>
      <c r="F718" s="5"/>
      <c r="G718" s="5"/>
      <c r="H718" s="5"/>
      <c r="I718" s="5"/>
      <c r="J718" s="5"/>
      <c r="K718" s="5"/>
      <c r="L718" s="5"/>
      <c r="M718" s="5"/>
      <c r="N718" s="5"/>
      <c r="O718" s="5"/>
      <c r="P718" s="5"/>
      <c r="Q718" s="5"/>
      <c r="R718" s="5"/>
      <c r="S718" s="5"/>
      <c r="T718" s="5"/>
      <c r="U718" s="5"/>
      <c r="V718" s="5"/>
      <c r="W718" s="5"/>
      <c r="X718" s="5"/>
      <c r="Y718" s="5"/>
      <c r="Z718" s="5"/>
    </row>
    <row r="719" spans="1:26" ht="12.5" x14ac:dyDescent="0.25">
      <c r="A719" s="5" t="s">
        <v>1181</v>
      </c>
      <c r="B719" s="5" t="str">
        <f ca="1">IFERROR(__xludf.DUMMYFUNCTION("AI(""Fill an appropriate value for this cell based on the table context"")"),"showing a casual and cheerful indifference; carefree")</f>
        <v>showing a casual and cheerful indifference; carefree</v>
      </c>
      <c r="C719" s="5" t="str">
        <f ca="1">IFERROR(__xludf.DUMMYFUNCTION("AI(""Fill an appropriate value for this cell based on the table context"")"),"carefree, cheerful, lighthearted")</f>
        <v>carefree, cheerful, lighthearted</v>
      </c>
      <c r="D719" s="5" t="str">
        <f ca="1">IFERROR(__xludf.DUMMYFUNCTION("AI(""Fill an appropriate value for this cell based on the table context"")"),"She showed a blithe disregard for the rules, driving right past the speed limit sign.")</f>
        <v>She showed a blithe disregard for the rules, driving right past the speed limit sign.</v>
      </c>
      <c r="E719" s="5"/>
      <c r="F719" s="5"/>
      <c r="G719" s="5"/>
      <c r="H719" s="5"/>
      <c r="I719" s="5"/>
      <c r="J719" s="5"/>
      <c r="K719" s="5"/>
      <c r="L719" s="5"/>
      <c r="M719" s="5"/>
      <c r="N719" s="5"/>
      <c r="O719" s="5"/>
      <c r="P719" s="5"/>
      <c r="Q719" s="5"/>
      <c r="R719" s="5"/>
      <c r="S719" s="5"/>
      <c r="T719" s="5"/>
      <c r="U719" s="5"/>
      <c r="V719" s="5"/>
      <c r="W719" s="5"/>
      <c r="X719" s="5"/>
      <c r="Y719" s="5"/>
      <c r="Z719" s="5"/>
    </row>
    <row r="720" spans="1:26" ht="12.5" x14ac:dyDescent="0.25">
      <c r="A720" s="5" t="s">
        <v>1182</v>
      </c>
      <c r="B720" s="5" t="str">
        <f ca="1">IFERROR(__xludf.DUMMYFUNCTION("AI(""Fill an appropriate value for this cell based on the table context"")"),"challenge or call into question as false")</f>
        <v>challenge or call into question as false</v>
      </c>
      <c r="C720" s="5" t="str">
        <f ca="1">IFERROR(__xludf.DUMMYFUNCTION("AI(""Fill an appropriate value for this cell based on the table context"")"),"challenge, question, dispute")</f>
        <v>challenge, question, dispute</v>
      </c>
      <c r="D720" s="5" t="str">
        <f ca="1">IFERROR(__xludf.DUMMYFUNCTION("AI(""Fill an appropriate value for this cell based on the table context"")"),"The defense attorney attempted to impugn the credibility of the key witness.")</f>
        <v>The defense attorney attempted to impugn the credibility of the key witness.</v>
      </c>
      <c r="E720" s="5"/>
      <c r="F720" s="5"/>
      <c r="G720" s="5"/>
      <c r="H720" s="5"/>
      <c r="I720" s="5"/>
      <c r="J720" s="5"/>
      <c r="K720" s="5"/>
      <c r="L720" s="5"/>
      <c r="M720" s="5"/>
      <c r="N720" s="5"/>
      <c r="O720" s="5"/>
      <c r="P720" s="5"/>
      <c r="Q720" s="5"/>
      <c r="R720" s="5"/>
      <c r="S720" s="5"/>
      <c r="T720" s="5"/>
      <c r="U720" s="5"/>
      <c r="V720" s="5"/>
      <c r="W720" s="5"/>
      <c r="X720" s="5"/>
      <c r="Y720" s="5"/>
      <c r="Z720" s="5"/>
    </row>
    <row r="721" spans="1:26" ht="12.5" x14ac:dyDescent="0.25">
      <c r="A721" s="5" t="s">
        <v>1183</v>
      </c>
      <c r="B721" s="5" t="str">
        <f ca="1">IFERROR(__xludf.DUMMYFUNCTION("AI(""Fill an appropriate value for this cell based on the table context"")"),"providing a general overview or summary")</f>
        <v>providing a general overview or summary</v>
      </c>
      <c r="C721" s="5" t="str">
        <f ca="1">IFERROR(__xludf.DUMMYFUNCTION("AI(""Fill an appropriate value for this cell based on the table context"")"),"concise, summary, succinct")</f>
        <v>concise, summary, succinct</v>
      </c>
      <c r="D721" s="5" t="str">
        <f ca="1">IFERROR(__xludf.DUMMYFUNCTION("AI(""Fill an appropriate value for this cell based on the table context"")"),"The professor provided a synoptic overview of European history during the lecture.")</f>
        <v>The professor provided a synoptic overview of European history during the lecture.</v>
      </c>
      <c r="E721" s="5"/>
      <c r="F721" s="5"/>
      <c r="G721" s="5"/>
      <c r="H721" s="5"/>
      <c r="I721" s="5"/>
      <c r="J721" s="5"/>
      <c r="K721" s="5"/>
      <c r="L721" s="5"/>
      <c r="M721" s="5"/>
      <c r="N721" s="5"/>
      <c r="O721" s="5"/>
      <c r="P721" s="5"/>
      <c r="Q721" s="5"/>
      <c r="R721" s="5"/>
      <c r="S721" s="5"/>
      <c r="T721" s="5"/>
      <c r="U721" s="5"/>
      <c r="V721" s="5"/>
      <c r="W721" s="5"/>
      <c r="X721" s="5"/>
      <c r="Y721" s="5"/>
      <c r="Z721" s="5"/>
    </row>
    <row r="722" spans="1:26" ht="12.5" x14ac:dyDescent="0.25">
      <c r="A722" s="5" t="s">
        <v>1184</v>
      </c>
      <c r="B722" s="5" t="str">
        <f ca="1">IFERROR(__xludf.DUMMYFUNCTION("AI(""Fill an appropriate value for this cell based on the table context"")"),"combine or reconcile differing beliefs or principles")</f>
        <v>combine or reconcile differing beliefs or principles</v>
      </c>
      <c r="C722" s="5" t="str">
        <f ca="1">IFERROR(__xludf.DUMMYFUNCTION("AI(""Fill an appropriate value for this cell based on the table context"")"),"combine, reconcile, unite")</f>
        <v>combine, reconcile, unite</v>
      </c>
      <c r="D722" s="5" t="str">
        <f ca="1">IFERROR(__xludf.DUMMYFUNCTION("AI(""Fill an appropriate value for this cell based on the table context"")"),"The new cultural festival aims to syncretize traditional music with modern electronic beats.")</f>
        <v>The new cultural festival aims to syncretize traditional music with modern electronic beats.</v>
      </c>
      <c r="E722" s="5"/>
      <c r="F722" s="5"/>
      <c r="G722" s="5"/>
      <c r="H722" s="5"/>
      <c r="I722" s="5"/>
      <c r="J722" s="5"/>
      <c r="K722" s="5"/>
      <c r="L722" s="5"/>
      <c r="M722" s="5"/>
      <c r="N722" s="5"/>
      <c r="O722" s="5"/>
      <c r="P722" s="5"/>
      <c r="Q722" s="5"/>
      <c r="R722" s="5"/>
      <c r="S722" s="5"/>
      <c r="T722" s="5"/>
      <c r="U722" s="5"/>
      <c r="V722" s="5"/>
      <c r="W722" s="5"/>
      <c r="X722" s="5"/>
      <c r="Y722" s="5"/>
      <c r="Z722" s="5"/>
    </row>
    <row r="723" spans="1:26" ht="12.5" x14ac:dyDescent="0.25">
      <c r="A723" s="5" t="s">
        <v>1185</v>
      </c>
      <c r="B723" s="5" t="str">
        <f ca="1">IFERROR(__xludf.DUMMYFUNCTION("AI(""Fill an appropriate value for this cell based on the table context"")"),"honor or celebrate with a large party or festival")</f>
        <v>honor or celebrate with a large party or festival</v>
      </c>
      <c r="C723" s="5" t="str">
        <f ca="1">IFERROR(__xludf.DUMMYFUNCTION("AI(""Fill an appropriate value for this cell based on the table context"")"),"celebrate, honor, entertain")</f>
        <v>celebrate, honor, entertain</v>
      </c>
      <c r="D723" s="5" t="str">
        <f ca="1">IFERROR(__xludf.DUMMYFUNCTION("AI(""Fill an appropriate value for this cell based on the table context"")"),"The town gathered to fete the local firefighters for their brave rescue efforts.")</f>
        <v>The town gathered to fete the local firefighters for their brave rescue efforts.</v>
      </c>
      <c r="E723" s="5"/>
      <c r="F723" s="5"/>
      <c r="G723" s="5"/>
      <c r="H723" s="5"/>
      <c r="I723" s="5"/>
      <c r="J723" s="5"/>
      <c r="K723" s="5"/>
      <c r="L723" s="5"/>
      <c r="M723" s="5"/>
      <c r="N723" s="5"/>
      <c r="O723" s="5"/>
      <c r="P723" s="5"/>
      <c r="Q723" s="5"/>
      <c r="R723" s="5"/>
      <c r="S723" s="5"/>
      <c r="T723" s="5"/>
      <c r="U723" s="5"/>
      <c r="V723" s="5"/>
      <c r="W723" s="5"/>
      <c r="X723" s="5"/>
      <c r="Y723" s="5"/>
      <c r="Z723" s="5"/>
    </row>
    <row r="724" spans="1:26" ht="12.5" x14ac:dyDescent="0.25">
      <c r="A724" s="5" t="s">
        <v>1186</v>
      </c>
      <c r="B724" s="5" t="str">
        <f ca="1">IFERROR(__xludf.DUMMYFUNCTION("AI(""Fill an appropriate value for this cell based on the table context"")"),"cause lingering anger or irritation")</f>
        <v>cause lingering anger or irritation</v>
      </c>
      <c r="C724" s="5" t="str">
        <f ca="1">IFERROR(__xludf.DUMMYFUNCTION("AI(""Fill an appropriate value for this cell based on the table context"")"),"annoy, irritate, fester")</f>
        <v>annoy, irritate, fester</v>
      </c>
      <c r="D724" s="5" t="str">
        <f ca="1">IFERROR(__xludf.DUMMYFUNCTION("AI(""Fill an appropriate value for this cell based on the table context"")"),"His harsh criticism continued to rankle her long after the meeting had ended.")</f>
        <v>His harsh criticism continued to rankle her long after the meeting had ended.</v>
      </c>
      <c r="E724" s="5"/>
      <c r="F724" s="5"/>
      <c r="G724" s="5"/>
      <c r="H724" s="5"/>
      <c r="I724" s="5"/>
      <c r="J724" s="5"/>
      <c r="K724" s="5"/>
      <c r="L724" s="5"/>
      <c r="M724" s="5"/>
      <c r="N724" s="5"/>
      <c r="O724" s="5"/>
      <c r="P724" s="5"/>
      <c r="Q724" s="5"/>
      <c r="R724" s="5"/>
      <c r="S724" s="5"/>
      <c r="T724" s="5"/>
      <c r="U724" s="5"/>
      <c r="V724" s="5"/>
      <c r="W724" s="5"/>
      <c r="X724" s="5"/>
      <c r="Y724" s="5"/>
      <c r="Z724" s="5"/>
    </row>
    <row r="725" spans="1:26" ht="12.5" x14ac:dyDescent="0.25">
      <c r="A725" s="5" t="s">
        <v>1187</v>
      </c>
      <c r="B725" s="5" t="str">
        <f ca="1">IFERROR(__xludf.DUMMYFUNCTION("AI(""Fill an appropriate value for this cell based on the table context"")"),"make sore by rubbing, or feel annoyed and restless")</f>
        <v>make sore by rubbing, or feel annoyed and restless</v>
      </c>
      <c r="C725" s="5" t="str">
        <f ca="1">IFERROR(__xludf.DUMMYFUNCTION("AI(""Fill an appropriate value for this cell based on the table context"")"),"abrade, rub, irritate")</f>
        <v>abrade, rub, irritate</v>
      </c>
      <c r="D725" s="5" t="str">
        <f ca="1">IFERROR(__xludf.DUMMYFUNCTION("AI(""Fill an appropriate value for this cell based on the table context"")"),"The stiff collar began to chafe his neck after hours of wearing the suit.")</f>
        <v>The stiff collar began to chafe his neck after hours of wearing the suit.</v>
      </c>
      <c r="E725" s="5"/>
      <c r="F725" s="5"/>
      <c r="G725" s="5"/>
      <c r="H725" s="5"/>
      <c r="I725" s="5"/>
      <c r="J725" s="5"/>
      <c r="K725" s="5"/>
      <c r="L725" s="5"/>
      <c r="M725" s="5"/>
      <c r="N725" s="5"/>
      <c r="O725" s="5"/>
      <c r="P725" s="5"/>
      <c r="Q725" s="5"/>
      <c r="R725" s="5"/>
      <c r="S725" s="5"/>
      <c r="T725" s="5"/>
      <c r="U725" s="5"/>
      <c r="V725" s="5"/>
      <c r="W725" s="5"/>
      <c r="X725" s="5"/>
      <c r="Y725" s="5"/>
      <c r="Z725" s="5"/>
    </row>
    <row r="726" spans="1:26" ht="12.5" x14ac:dyDescent="0.25">
      <c r="A726" s="5" t="s">
        <v>1188</v>
      </c>
      <c r="B726" s="5" t="str">
        <f ca="1">IFERROR(__xludf.DUMMYFUNCTION("AI(""Fill an appropriate value for this cell based on the table context"")"),"show resentment or bring under control")</f>
        <v>show resentment or bring under control</v>
      </c>
      <c r="C726" s="5" t="str">
        <f ca="1">IFERROR(__xludf.DUMMYFUNCTION("AI(""Fill an appropriate value for this cell based on the table context"")"),"restrain, control, curb")</f>
        <v>restrain, control, curb</v>
      </c>
      <c r="D726" s="5" t="str">
        <f ca="1">IFERROR(__xludf.DUMMYFUNCTION("AI(""Fill an appropriate value for this cell based on the table context"")"),"She had to bridle her temper during the tense meeting.")</f>
        <v>She had to bridle her temper during the tense meeting.</v>
      </c>
      <c r="E726" s="5"/>
      <c r="F726" s="5"/>
      <c r="G726" s="5"/>
      <c r="H726" s="5"/>
      <c r="I726" s="5"/>
      <c r="J726" s="5"/>
      <c r="K726" s="5"/>
      <c r="L726" s="5"/>
      <c r="M726" s="5"/>
      <c r="N726" s="5"/>
      <c r="O726" s="5"/>
      <c r="P726" s="5"/>
      <c r="Q726" s="5"/>
      <c r="R726" s="5"/>
      <c r="S726" s="5"/>
      <c r="T726" s="5"/>
      <c r="U726" s="5"/>
      <c r="V726" s="5"/>
      <c r="W726" s="5"/>
      <c r="X726" s="5"/>
      <c r="Y726" s="5"/>
      <c r="Z726" s="5"/>
    </row>
    <row r="727" spans="1:26" ht="12.5" x14ac:dyDescent="0.25">
      <c r="A727" s="5" t="s">
        <v>1189</v>
      </c>
      <c r="B727" s="5" t="str">
        <f ca="1">IFERROR(__xludf.DUMMYFUNCTION("AI(""Fill an appropriate value for this cell based on the table context"")"),"precede in time or assign an earlier date")</f>
        <v>precede in time or assign an earlier date</v>
      </c>
      <c r="C727" s="5" t="str">
        <f ca="1">IFERROR(__xludf.DUMMYFUNCTION("AI(""Fill an appropriate value for this cell based on the table context"")"),"precede, predate, antecede")</f>
        <v>precede, predate, antecede</v>
      </c>
      <c r="D727" s="5" t="str">
        <f ca="1">IFERROR(__xludf.DUMMYFUNCTION("AI(""Fill an appropriate value for this cell based on the table context"")"),"The invention of the printing press antedates the discovery of America.")</f>
        <v>The invention of the printing press antedates the discovery of America.</v>
      </c>
      <c r="E727" s="5"/>
      <c r="F727" s="5"/>
      <c r="G727" s="5"/>
      <c r="H727" s="5"/>
      <c r="I727" s="5"/>
      <c r="J727" s="5"/>
      <c r="K727" s="5"/>
      <c r="L727" s="5"/>
      <c r="M727" s="5"/>
      <c r="N727" s="5"/>
      <c r="O727" s="5"/>
      <c r="P727" s="5"/>
      <c r="Q727" s="5"/>
      <c r="R727" s="5"/>
      <c r="S727" s="5"/>
      <c r="T727" s="5"/>
      <c r="U727" s="5"/>
      <c r="V727" s="5"/>
      <c r="W727" s="5"/>
      <c r="X727" s="5"/>
      <c r="Y727" s="5"/>
      <c r="Z727" s="5"/>
    </row>
    <row r="728" spans="1:26" ht="12.5" x14ac:dyDescent="0.25">
      <c r="A728" s="5" t="s">
        <v>1190</v>
      </c>
      <c r="B728" s="5" t="str">
        <f ca="1">IFERROR(__xludf.DUMMYFUNCTION("AI(""Fill an appropriate value for this cell based on the table context"")"),"conformity to truth or accuracy")</f>
        <v>conformity to truth or accuracy</v>
      </c>
      <c r="C728" s="5" t="str">
        <f ca="1">IFERROR(__xludf.DUMMYFUNCTION("AI(""Fill an appropriate value for this cell based on the table context"")"),"truthfulness, honesty, accuracy")</f>
        <v>truthfulness, honesty, accuracy</v>
      </c>
      <c r="D728" s="5" t="str">
        <f ca="1">IFERROR(__xludf.DUMMYFUNCTION("AI(""Fill an appropriate value for this cell based on the table context"")"),"Officials questioned the veracity of the statements provided by the witness.")</f>
        <v>Officials questioned the veracity of the statements provided by the witness.</v>
      </c>
      <c r="E728" s="5"/>
      <c r="F728" s="5"/>
      <c r="G728" s="5"/>
      <c r="H728" s="5"/>
      <c r="I728" s="5"/>
      <c r="J728" s="5"/>
      <c r="K728" s="5"/>
      <c r="L728" s="5"/>
      <c r="M728" s="5"/>
      <c r="N728" s="5"/>
      <c r="O728" s="5"/>
      <c r="P728" s="5"/>
      <c r="Q728" s="5"/>
      <c r="R728" s="5"/>
      <c r="S728" s="5"/>
      <c r="T728" s="5"/>
      <c r="U728" s="5"/>
      <c r="V728" s="5"/>
      <c r="W728" s="5"/>
      <c r="X728" s="5"/>
      <c r="Y728" s="5"/>
      <c r="Z728" s="5"/>
    </row>
    <row r="729" spans="1:26" ht="12.5" x14ac:dyDescent="0.25">
      <c r="A729" s="5" t="s">
        <v>1191</v>
      </c>
      <c r="B729" s="5" t="str">
        <f ca="1">IFERROR(__xludf.DUMMYFUNCTION("AI(""Fill an appropriate value for this cell based on the table context"")"),"flashing brightly or sparkling brilliantly")</f>
        <v>flashing brightly or sparkling brilliantly</v>
      </c>
      <c r="C729" s="5" t="str">
        <f ca="1">IFERROR(__xludf.DUMMYFUNCTION("AI(""Fill an appropriate value for this cell based on the table context"")"),"sparkling, glittering, gleaming")</f>
        <v>sparkling, glittering, gleaming</v>
      </c>
      <c r="D729" s="5" t="str">
        <f ca="1">IFERROR(__xludf.DUMMYFUNCTION("AI(""Fill an appropriate value for this cell based on the table context"")"),"The critic praised the speaker's coruscating wit and brilliant delivery.")</f>
        <v>The critic praised the speaker's coruscating wit and brilliant delivery.</v>
      </c>
      <c r="E729" s="5"/>
      <c r="F729" s="5"/>
      <c r="G729" s="5"/>
      <c r="H729" s="5"/>
      <c r="I729" s="5"/>
      <c r="J729" s="5"/>
      <c r="K729" s="5"/>
      <c r="L729" s="5"/>
      <c r="M729" s="5"/>
      <c r="N729" s="5"/>
      <c r="O729" s="5"/>
      <c r="P729" s="5"/>
      <c r="Q729" s="5"/>
      <c r="R729" s="5"/>
      <c r="S729" s="5"/>
      <c r="T729" s="5"/>
      <c r="U729" s="5"/>
      <c r="V729" s="5"/>
      <c r="W729" s="5"/>
      <c r="X729" s="5"/>
      <c r="Y729" s="5"/>
      <c r="Z729" s="5"/>
    </row>
    <row r="730" spans="1:26" ht="12.5" x14ac:dyDescent="0.25">
      <c r="A730" s="5" t="s">
        <v>1192</v>
      </c>
      <c r="B730" s="5" t="str">
        <f ca="1">IFERROR(__xludf.DUMMYFUNCTION("AI(""Fill an appropriate value for this cell based on the table context"")"),"go before in time, order, or rank; precede")</f>
        <v>go before in time, order, or rank; precede</v>
      </c>
      <c r="C730" s="5" t="str">
        <f ca="1">IFERROR(__xludf.DUMMYFUNCTION("AI(""Fill an appropriate value for this cell based on the table context"")"),"precede, antedate, predate")</f>
        <v>precede, antedate, predate</v>
      </c>
      <c r="D730" s="5" t="str">
        <f ca="1">IFERROR(__xludf.DUMMYFUNCTION("AI(""Fill an appropriate value for this cell based on the table context"")"),"In an election year, party primaries typically antecede the general election.")</f>
        <v>In an election year, party primaries typically antecede the general election.</v>
      </c>
      <c r="E730" s="5"/>
      <c r="F730" s="5"/>
      <c r="G730" s="5"/>
      <c r="H730" s="5"/>
      <c r="I730" s="5"/>
      <c r="J730" s="5"/>
      <c r="K730" s="5"/>
      <c r="L730" s="5"/>
      <c r="M730" s="5"/>
      <c r="N730" s="5"/>
      <c r="O730" s="5"/>
      <c r="P730" s="5"/>
      <c r="Q730" s="5"/>
      <c r="R730" s="5"/>
      <c r="S730" s="5"/>
      <c r="T730" s="5"/>
      <c r="U730" s="5"/>
      <c r="V730" s="5"/>
      <c r="W730" s="5"/>
      <c r="X730" s="5"/>
      <c r="Y730" s="5"/>
      <c r="Z730" s="5"/>
    </row>
    <row r="731" spans="1:26" ht="12.5" x14ac:dyDescent="0.25">
      <c r="A731" s="5" t="s">
        <v>1193</v>
      </c>
      <c r="B731" s="5" t="str">
        <f ca="1">IFERROR(__xludf.DUMMYFUNCTION("AI(""Fill an appropriate value for this cell based on the table context"")"),"avoiding a direct commitment or statement by using vague language")</f>
        <v>avoiding a direct commitment or statement by using vague language</v>
      </c>
      <c r="C731" s="5" t="str">
        <f ca="1">IFERROR(__xludf.DUMMYFUNCTION("AI(""Fill an appropriate value for this cell based on the table context"")"),"equivocation, evasion, prevaricate")</f>
        <v>equivocation, evasion, prevaricate</v>
      </c>
      <c r="D731" s="5" t="str">
        <f ca="1">IFERROR(__xludf.DUMMYFUNCTION("AI(""Fill an appropriate value for this cell based on the table context"")"),"The politician spent the entire interview hedging rather than giving a direct answer to the question.")</f>
        <v>The politician spent the entire interview hedging rather than giving a direct answer to the question.</v>
      </c>
      <c r="E731" s="5"/>
      <c r="F731" s="5"/>
      <c r="G731" s="5"/>
      <c r="H731" s="5"/>
      <c r="I731" s="5"/>
      <c r="J731" s="5"/>
      <c r="K731" s="5"/>
      <c r="L731" s="5"/>
      <c r="M731" s="5"/>
      <c r="N731" s="5"/>
      <c r="O731" s="5"/>
      <c r="P731" s="5"/>
      <c r="Q731" s="5"/>
      <c r="R731" s="5"/>
      <c r="S731" s="5"/>
      <c r="T731" s="5"/>
      <c r="U731" s="5"/>
      <c r="V731" s="5"/>
      <c r="W731" s="5"/>
      <c r="X731" s="5"/>
      <c r="Y731" s="5"/>
      <c r="Z731" s="5"/>
    </row>
    <row r="732" spans="1:26" ht="12.5" x14ac:dyDescent="0.25">
      <c r="A732" s="5" t="s">
        <v>1194</v>
      </c>
      <c r="B732" s="5" t="str">
        <f ca="1">IFERROR(__xludf.DUMMYFUNCTION("AI(""Fill an appropriate value for this cell based on the table context"")"),"the process of offering a company's shares on the stock market for the first time")</f>
        <v>the process of offering a company's shares on the stock market for the first time</v>
      </c>
      <c r="C732" s="5" t="str">
        <f ca="1">IFERROR(__xludf.DUMMYFUNCTION("AI(""Fill an appropriate value for this cell based on the table context"")"),"buoyancy, floatation, floating")</f>
        <v>buoyancy, floatation, floating</v>
      </c>
      <c r="D732" s="5" t="str">
        <f ca="1">IFERROR(__xludf.DUMMYFUNCTION("AI(""Fill an appropriate value for this cell based on the table context"")"),"All passengers were instructed to put on a personal flotation device before the boat departed.")</f>
        <v>All passengers were instructed to put on a personal flotation device before the boat departed.</v>
      </c>
      <c r="E732" s="5"/>
      <c r="F732" s="5"/>
      <c r="G732" s="5"/>
      <c r="H732" s="5"/>
      <c r="I732" s="5"/>
      <c r="J732" s="5"/>
      <c r="K732" s="5"/>
      <c r="L732" s="5"/>
      <c r="M732" s="5"/>
      <c r="N732" s="5"/>
      <c r="O732" s="5"/>
      <c r="P732" s="5"/>
      <c r="Q732" s="5"/>
      <c r="R732" s="5"/>
      <c r="S732" s="5"/>
      <c r="T732" s="5"/>
      <c r="U732" s="5"/>
      <c r="V732" s="5"/>
      <c r="W732" s="5"/>
      <c r="X732" s="5"/>
      <c r="Y732" s="5"/>
      <c r="Z732" s="5"/>
    </row>
    <row r="733" spans="1:26" ht="12.5" x14ac:dyDescent="0.25">
      <c r="A733" s="5" t="s">
        <v>1195</v>
      </c>
      <c r="B733" s="5" t="str">
        <f ca="1">IFERROR(__xludf.DUMMYFUNCTION("AI(""Fill an appropriate value for this cell based on the table context"")"),"Peculiar habits, characteristics, or features unique to an individual or thing")</f>
        <v>Peculiar habits, characteristics, or features unique to an individual or thing</v>
      </c>
      <c r="C733" s="5" t="str">
        <f ca="1">IFERROR(__xludf.DUMMYFUNCTION("AI(""Fill an appropriate value for this cell based on the table context"")"),"quirks, peculiarities, eccentricities")</f>
        <v>quirks, peculiarities, eccentricities</v>
      </c>
      <c r="D733" s="5" t="str">
        <f ca="1">IFERROR(__xludf.DUMMYFUNCTION("AI(""Fill an appropriate value for this cell based on the table context"")"),"Over time, she grew fond of her roommate's peculiar little idiosyncrasies.")</f>
        <v>Over time, she grew fond of her roommate's peculiar little idiosyncrasies.</v>
      </c>
      <c r="E733" s="5"/>
      <c r="F733" s="5"/>
      <c r="G733" s="5"/>
      <c r="H733" s="5"/>
      <c r="I733" s="5"/>
      <c r="J733" s="5"/>
      <c r="K733" s="5"/>
      <c r="L733" s="5"/>
      <c r="M733" s="5"/>
      <c r="N733" s="5"/>
      <c r="O733" s="5"/>
      <c r="P733" s="5"/>
      <c r="Q733" s="5"/>
      <c r="R733" s="5"/>
      <c r="S733" s="5"/>
      <c r="T733" s="5"/>
      <c r="U733" s="5"/>
      <c r="V733" s="5"/>
      <c r="W733" s="5"/>
      <c r="X733" s="5"/>
      <c r="Y733" s="5"/>
      <c r="Z733" s="5"/>
    </row>
    <row r="734" spans="1:26" ht="12.5" x14ac:dyDescent="0.25">
      <c r="A734" s="5" t="s">
        <v>1196</v>
      </c>
      <c r="B734" s="5" t="str">
        <f ca="1">IFERROR(__xludf.DUMMYFUNCTION("AI(""Fill an appropriate value for this cell based on the table context"")"),"clumsy, awkward, or lacking skill or tact")</f>
        <v>clumsy, awkward, or lacking skill or tact</v>
      </c>
      <c r="C734" s="5" t="str">
        <f ca="1">IFERROR(__xludf.DUMMYFUNCTION("AI(""Fill an appropriate value for this cell based on the table context"")"),"clumsy, awkward, inept")</f>
        <v>clumsy, awkward, inept</v>
      </c>
      <c r="D734" s="5" t="str">
        <f ca="1">IFERROR(__xludf.DUMMYFUNCTION("AI(""Fill an appropriate value for this cell based on the table context"")"),"His maladroit handling of the situation only made matters worse.")</f>
        <v>His maladroit handling of the situation only made matters worse.</v>
      </c>
      <c r="E734" s="5"/>
      <c r="F734" s="5"/>
      <c r="G734" s="5"/>
      <c r="H734" s="5"/>
      <c r="I734" s="5"/>
      <c r="J734" s="5"/>
      <c r="K734" s="5"/>
      <c r="L734" s="5"/>
      <c r="M734" s="5"/>
      <c r="N734" s="5"/>
      <c r="O734" s="5"/>
      <c r="P734" s="5"/>
      <c r="Q734" s="5"/>
      <c r="R734" s="5"/>
      <c r="S734" s="5"/>
      <c r="T734" s="5"/>
      <c r="U734" s="5"/>
      <c r="V734" s="5"/>
      <c r="W734" s="5"/>
      <c r="X734" s="5"/>
      <c r="Y734" s="5"/>
      <c r="Z734" s="5"/>
    </row>
    <row r="735" spans="1:26" ht="12.5" x14ac:dyDescent="0.25">
      <c r="A735" s="5" t="s">
        <v>1197</v>
      </c>
      <c r="B735" s="5" t="str">
        <f ca="1">IFERROR(__xludf.DUMMYFUNCTION("AI(""Fill an appropriate value for this cell based on the table context"")"),"remaining as a small or useless part of something that was once larger or fully developed")</f>
        <v>remaining as a small or useless part of something that was once larger or fully developed</v>
      </c>
      <c r="C735" s="5" t="str">
        <f ca="1">IFERROR(__xludf.DUMMYFUNCTION("AI(""Fill an appropriate value for this cell based on the table context"")"),"rudimentary, undeveloped, primitive")</f>
        <v>rudimentary, undeveloped, primitive</v>
      </c>
      <c r="D735" s="5" t="str">
        <f ca="1">IFERROR(__xludf.DUMMYFUNCTION("AI(""Fill an appropriate value for this cell based on the table context"")"),"The human appendix is often cited as a vestigial organ that has lost its original digestive function over time.")</f>
        <v>The human appendix is often cited as a vestigial organ that has lost its original digestive function over time.</v>
      </c>
      <c r="E735" s="5"/>
      <c r="F735" s="5"/>
      <c r="G735" s="5"/>
      <c r="H735" s="5"/>
      <c r="I735" s="5"/>
      <c r="J735" s="5"/>
      <c r="K735" s="5"/>
      <c r="L735" s="5"/>
      <c r="M735" s="5"/>
      <c r="N735" s="5"/>
      <c r="O735" s="5"/>
      <c r="P735" s="5"/>
      <c r="Q735" s="5"/>
      <c r="R735" s="5"/>
      <c r="S735" s="5"/>
      <c r="T735" s="5"/>
      <c r="U735" s="5"/>
      <c r="V735" s="5"/>
      <c r="W735" s="5"/>
      <c r="X735" s="5"/>
      <c r="Y735" s="5"/>
      <c r="Z735" s="5"/>
    </row>
    <row r="736" spans="1:26" ht="12.5" x14ac:dyDescent="0.25">
      <c r="A736" s="5" t="s">
        <v>1198</v>
      </c>
      <c r="B736" s="5" t="str">
        <f ca="1">IFERROR(__xludf.DUMMYFUNCTION("AI(""Fill an appropriate value for this cell based on the table context"")"),"naturally accompanying or associated")</f>
        <v>naturally accompanying or associated</v>
      </c>
      <c r="C736" s="5" t="str">
        <f ca="1">IFERROR(__xludf.DUMMYFUNCTION("AI(""Fill an appropriate value for this cell based on the table context"")"),"attendant, accompanying, concurrent")</f>
        <v>attendant, accompanying, concurrent</v>
      </c>
      <c r="D736" s="5" t="str">
        <f ca="1">IFERROR(__xludf.DUMMYFUNCTION("AI(""Fill an appropriate value for this cell based on the table context"")"),"The increase in workload was a concomitant effect of his recent promotion.")</f>
        <v>The increase in workload was a concomitant effect of his recent promotion.</v>
      </c>
      <c r="E736" s="5"/>
      <c r="F736" s="5"/>
      <c r="G736" s="5"/>
      <c r="H736" s="5"/>
      <c r="I736" s="5"/>
      <c r="J736" s="5"/>
      <c r="K736" s="5"/>
      <c r="L736" s="5"/>
      <c r="M736" s="5"/>
      <c r="N736" s="5"/>
      <c r="O736" s="5"/>
      <c r="P736" s="5"/>
      <c r="Q736" s="5"/>
      <c r="R736" s="5"/>
      <c r="S736" s="5"/>
      <c r="T736" s="5"/>
      <c r="U736" s="5"/>
      <c r="V736" s="5"/>
      <c r="W736" s="5"/>
      <c r="X736" s="5"/>
      <c r="Y736" s="5"/>
      <c r="Z736" s="5"/>
    </row>
    <row r="737" spans="1:26" ht="12.5"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5"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5"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5"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5"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5"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5"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5"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5"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5"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5"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5"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5"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5"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5"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5"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5"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5"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5"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5"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5"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5"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5"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5"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5"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5"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5"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5"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5"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5"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5"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5"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5"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5"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5"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5"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5"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5"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5"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5"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5"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5"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5"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5"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5"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5"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5"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5"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5"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5"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5"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5"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5"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5"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5"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5"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5"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5"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5"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5"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5"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5"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5"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5"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5"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5"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5"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5"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5"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5"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5"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5"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5"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5"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5"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5"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5"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5"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5"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5"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5"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5"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5"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5"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5"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5"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5"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5"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5"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5"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5"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5"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5"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5"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5"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5"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5"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5"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5"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5"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5"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5"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5"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5"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5"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5"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5"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5"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5"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5"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5"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5"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5"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5"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5"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5"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5"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5"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5"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5"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5"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5"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5"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5"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5"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5"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5"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5"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5"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5"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5"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5"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5"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5"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5"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5"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5"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5"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5"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5"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5"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5"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5"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5"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5"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5"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5"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5"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5"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5"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5"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5"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5"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5"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5"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5"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5"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5"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5"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5"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5"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5"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5"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5"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5"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5"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5"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5"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5"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5"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5"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5"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5"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5"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5"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5"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5"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5"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5"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5"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5"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5"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5"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5"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5"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5"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5"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5"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5"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5"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5"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5"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5"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5"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5"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5"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5"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5"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5"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5"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5"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5"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5"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5"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5"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5"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5"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sheetData>
  <conditionalFormatting sqref="A2:A943">
    <cfRule type="expression" dxfId="0" priority="1">
      <formula>COUNTIF($A$2:$A$943,A2)&gt;1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50"/>
  <sheetViews>
    <sheetView tabSelected="1" workbookViewId="0"/>
  </sheetViews>
  <sheetFormatPr defaultColWidth="12.6328125" defaultRowHeight="15.75" customHeight="1" x14ac:dyDescent="0.25"/>
  <cols>
    <col min="1" max="1" width="52.7265625" customWidth="1"/>
    <col min="2" max="2" width="106" customWidth="1"/>
    <col min="3" max="3" width="55.453125" customWidth="1"/>
    <col min="4" max="4" width="62.26953125" customWidth="1"/>
  </cols>
  <sheetData>
    <row r="1" spans="1:26" ht="19.5" customHeight="1" x14ac:dyDescent="0.2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2.5" x14ac:dyDescent="0.25">
      <c r="A2" s="6" t="s">
        <v>8</v>
      </c>
      <c r="B2" s="6" t="s">
        <v>10</v>
      </c>
      <c r="C2" s="6"/>
      <c r="D2" s="6"/>
      <c r="E2" s="6"/>
      <c r="F2" s="6"/>
      <c r="G2" s="6"/>
      <c r="H2" s="6"/>
      <c r="I2" s="6"/>
      <c r="J2" s="6"/>
      <c r="K2" s="6"/>
      <c r="L2" s="6"/>
      <c r="M2" s="6"/>
      <c r="N2" s="6"/>
      <c r="O2" s="6"/>
      <c r="P2" s="6"/>
      <c r="Q2" s="6"/>
      <c r="R2" s="6"/>
      <c r="S2" s="6"/>
      <c r="T2" s="6"/>
      <c r="U2" s="6"/>
      <c r="V2" s="6"/>
      <c r="W2" s="6"/>
      <c r="X2" s="6"/>
      <c r="Y2" s="6"/>
      <c r="Z2" s="6"/>
    </row>
    <row r="3" spans="1:26" ht="25" x14ac:dyDescent="0.25">
      <c r="A3" s="8" t="s">
        <v>12</v>
      </c>
      <c r="B3" s="8" t="s">
        <v>15</v>
      </c>
      <c r="C3" s="8"/>
      <c r="D3" s="8"/>
      <c r="E3" s="8"/>
      <c r="F3" s="8"/>
      <c r="G3" s="8"/>
      <c r="H3" s="8"/>
      <c r="I3" s="8"/>
      <c r="J3" s="8"/>
      <c r="K3" s="8"/>
      <c r="L3" s="8"/>
      <c r="M3" s="8"/>
      <c r="N3" s="8"/>
      <c r="O3" s="8"/>
      <c r="P3" s="8"/>
      <c r="Q3" s="8"/>
      <c r="R3" s="8"/>
      <c r="S3" s="8"/>
      <c r="T3" s="8"/>
      <c r="U3" s="8"/>
      <c r="V3" s="8"/>
      <c r="W3" s="8"/>
      <c r="X3" s="8"/>
      <c r="Y3" s="8"/>
      <c r="Z3" s="8"/>
    </row>
    <row r="4" spans="1:26" ht="12.5" x14ac:dyDescent="0.25">
      <c r="A4" s="6" t="s">
        <v>18</v>
      </c>
      <c r="B4" s="6" t="s">
        <v>19</v>
      </c>
      <c r="C4" s="6"/>
      <c r="D4" s="6"/>
      <c r="E4" s="6"/>
      <c r="F4" s="6"/>
      <c r="G4" s="6"/>
      <c r="H4" s="6"/>
      <c r="I4" s="6"/>
      <c r="J4" s="6"/>
      <c r="K4" s="6"/>
      <c r="L4" s="6"/>
      <c r="M4" s="6"/>
      <c r="N4" s="6"/>
      <c r="O4" s="6"/>
      <c r="P4" s="6"/>
      <c r="Q4" s="6"/>
      <c r="R4" s="6"/>
      <c r="S4" s="6"/>
      <c r="T4" s="6"/>
      <c r="U4" s="6"/>
      <c r="V4" s="6"/>
      <c r="W4" s="6"/>
      <c r="X4" s="6"/>
      <c r="Y4" s="6"/>
      <c r="Z4" s="6"/>
    </row>
    <row r="5" spans="1:26" ht="25" x14ac:dyDescent="0.25">
      <c r="A5" s="8" t="s">
        <v>22</v>
      </c>
      <c r="B5" s="8" t="s">
        <v>24</v>
      </c>
      <c r="C5" s="8"/>
      <c r="D5" s="8"/>
      <c r="E5" s="8"/>
      <c r="F5" s="8"/>
      <c r="G5" s="8"/>
      <c r="H5" s="8"/>
      <c r="I5" s="8"/>
      <c r="J5" s="8"/>
      <c r="K5" s="8"/>
      <c r="L5" s="8"/>
      <c r="M5" s="8"/>
      <c r="N5" s="8"/>
      <c r="O5" s="8"/>
      <c r="P5" s="8"/>
      <c r="Q5" s="8"/>
      <c r="R5" s="8"/>
      <c r="S5" s="8"/>
      <c r="T5" s="8"/>
      <c r="U5" s="8"/>
      <c r="V5" s="8"/>
      <c r="W5" s="8"/>
      <c r="X5" s="8"/>
      <c r="Y5" s="8"/>
      <c r="Z5" s="8"/>
    </row>
    <row r="6" spans="1:26" ht="25" x14ac:dyDescent="0.25">
      <c r="A6" s="6" t="s">
        <v>26</v>
      </c>
      <c r="B6" s="6" t="s">
        <v>29</v>
      </c>
      <c r="C6" s="6"/>
      <c r="D6" s="6"/>
      <c r="E6" s="6"/>
      <c r="F6" s="6"/>
      <c r="G6" s="6"/>
      <c r="H6" s="6"/>
      <c r="I6" s="6"/>
      <c r="J6" s="6"/>
      <c r="K6" s="6"/>
      <c r="L6" s="6"/>
      <c r="M6" s="6"/>
      <c r="N6" s="6"/>
      <c r="O6" s="6"/>
      <c r="P6" s="6"/>
      <c r="Q6" s="6"/>
      <c r="R6" s="6"/>
      <c r="S6" s="6"/>
      <c r="T6" s="6"/>
      <c r="U6" s="6"/>
      <c r="V6" s="6"/>
      <c r="W6" s="6"/>
      <c r="X6" s="6"/>
      <c r="Y6" s="6"/>
      <c r="Z6" s="6"/>
    </row>
    <row r="7" spans="1:26" ht="12.5" x14ac:dyDescent="0.25">
      <c r="A7" s="8" t="s">
        <v>32</v>
      </c>
      <c r="B7" s="8" t="s">
        <v>33</v>
      </c>
      <c r="C7" s="8"/>
      <c r="D7" s="8"/>
      <c r="E7" s="8"/>
      <c r="F7" s="8"/>
      <c r="G7" s="8"/>
      <c r="H7" s="8"/>
      <c r="I7" s="8"/>
      <c r="J7" s="8"/>
      <c r="K7" s="8"/>
      <c r="L7" s="8"/>
      <c r="M7" s="8"/>
      <c r="N7" s="8"/>
      <c r="O7" s="8"/>
      <c r="P7" s="8"/>
      <c r="Q7" s="8"/>
      <c r="R7" s="8"/>
      <c r="S7" s="8"/>
      <c r="T7" s="8"/>
      <c r="U7" s="8"/>
      <c r="V7" s="8"/>
      <c r="W7" s="8"/>
      <c r="X7" s="8"/>
      <c r="Y7" s="8"/>
      <c r="Z7" s="8"/>
    </row>
    <row r="8" spans="1:26" ht="12.5" x14ac:dyDescent="0.25">
      <c r="A8" s="6" t="s">
        <v>34</v>
      </c>
      <c r="B8" s="6" t="s">
        <v>35</v>
      </c>
      <c r="C8" s="6"/>
      <c r="D8" s="6"/>
      <c r="E8" s="6"/>
      <c r="F8" s="6"/>
      <c r="G8" s="6"/>
      <c r="H8" s="6"/>
      <c r="I8" s="6"/>
      <c r="J8" s="6"/>
      <c r="K8" s="6"/>
      <c r="L8" s="6"/>
      <c r="M8" s="6"/>
      <c r="N8" s="6"/>
      <c r="O8" s="6"/>
      <c r="P8" s="6"/>
      <c r="Q8" s="6"/>
      <c r="R8" s="6"/>
      <c r="S8" s="6"/>
      <c r="T8" s="6"/>
      <c r="U8" s="6"/>
      <c r="V8" s="6"/>
      <c r="W8" s="6"/>
      <c r="X8" s="6"/>
      <c r="Y8" s="6"/>
      <c r="Z8" s="6"/>
    </row>
    <row r="9" spans="1:26" ht="12.5" x14ac:dyDescent="0.25">
      <c r="A9" s="8" t="s">
        <v>36</v>
      </c>
      <c r="B9" s="8" t="s">
        <v>37</v>
      </c>
      <c r="C9" s="8"/>
      <c r="D9" s="8"/>
      <c r="E9" s="8"/>
      <c r="F9" s="8"/>
      <c r="G9" s="8"/>
      <c r="H9" s="8"/>
      <c r="I9" s="8"/>
      <c r="J9" s="8"/>
      <c r="K9" s="8"/>
      <c r="L9" s="8"/>
      <c r="M9" s="8"/>
      <c r="N9" s="8"/>
      <c r="O9" s="8"/>
      <c r="P9" s="8"/>
      <c r="Q9" s="8"/>
      <c r="R9" s="8"/>
      <c r="S9" s="8"/>
      <c r="T9" s="8"/>
      <c r="U9" s="8"/>
      <c r="V9" s="8"/>
      <c r="W9" s="8"/>
      <c r="X9" s="8"/>
      <c r="Y9" s="8"/>
      <c r="Z9" s="8"/>
    </row>
    <row r="10" spans="1:26" ht="25" x14ac:dyDescent="0.25">
      <c r="A10" s="6" t="s">
        <v>40</v>
      </c>
      <c r="B10" s="6" t="s">
        <v>41</v>
      </c>
      <c r="C10" s="6"/>
      <c r="D10" s="6"/>
      <c r="E10" s="6"/>
      <c r="F10" s="6"/>
      <c r="G10" s="6"/>
      <c r="H10" s="6"/>
      <c r="I10" s="6"/>
      <c r="J10" s="6"/>
      <c r="K10" s="6"/>
      <c r="L10" s="6"/>
      <c r="M10" s="6"/>
      <c r="N10" s="6"/>
      <c r="O10" s="6"/>
      <c r="P10" s="6"/>
      <c r="Q10" s="6"/>
      <c r="R10" s="6"/>
      <c r="S10" s="6"/>
      <c r="T10" s="6"/>
      <c r="U10" s="6"/>
      <c r="V10" s="6"/>
      <c r="W10" s="6"/>
      <c r="X10" s="6"/>
      <c r="Y10" s="6"/>
      <c r="Z10" s="6"/>
    </row>
    <row r="11" spans="1:26" ht="25" x14ac:dyDescent="0.25">
      <c r="A11" s="8" t="s">
        <v>44</v>
      </c>
      <c r="B11" s="8" t="s">
        <v>45</v>
      </c>
      <c r="C11" s="8"/>
      <c r="D11" s="8"/>
      <c r="E11" s="8"/>
      <c r="F11" s="8"/>
      <c r="G11" s="8"/>
      <c r="H11" s="8"/>
      <c r="I11" s="8"/>
      <c r="J11" s="8"/>
      <c r="K11" s="8"/>
      <c r="L11" s="8"/>
      <c r="M11" s="8"/>
      <c r="N11" s="8"/>
      <c r="O11" s="8"/>
      <c r="P11" s="8"/>
      <c r="Q11" s="8"/>
      <c r="R11" s="8"/>
      <c r="S11" s="8"/>
      <c r="T11" s="8"/>
      <c r="U11" s="8"/>
      <c r="V11" s="8"/>
      <c r="W11" s="8"/>
      <c r="X11" s="8"/>
      <c r="Y11" s="8"/>
      <c r="Z11" s="8"/>
    </row>
    <row r="12" spans="1:26" ht="25" x14ac:dyDescent="0.25">
      <c r="A12" s="6" t="s">
        <v>49</v>
      </c>
      <c r="B12" s="6" t="s">
        <v>51</v>
      </c>
      <c r="C12" s="6"/>
      <c r="D12" s="6"/>
      <c r="E12" s="6"/>
      <c r="F12" s="6"/>
      <c r="G12" s="6"/>
      <c r="H12" s="6"/>
      <c r="I12" s="6"/>
      <c r="J12" s="6"/>
      <c r="K12" s="6"/>
      <c r="L12" s="6"/>
      <c r="M12" s="6"/>
      <c r="N12" s="6"/>
      <c r="O12" s="6"/>
      <c r="P12" s="6"/>
      <c r="Q12" s="6"/>
      <c r="R12" s="6"/>
      <c r="S12" s="6"/>
      <c r="T12" s="6"/>
      <c r="U12" s="6"/>
      <c r="V12" s="6"/>
      <c r="W12" s="6"/>
      <c r="X12" s="6"/>
      <c r="Y12" s="6"/>
      <c r="Z12" s="6"/>
    </row>
    <row r="13" spans="1:26" ht="25" x14ac:dyDescent="0.25">
      <c r="A13" s="8" t="s">
        <v>54</v>
      </c>
      <c r="B13" s="8" t="s">
        <v>55</v>
      </c>
      <c r="C13" s="8"/>
      <c r="D13" s="8"/>
      <c r="E13" s="8"/>
      <c r="F13" s="8"/>
      <c r="G13" s="8"/>
      <c r="H13" s="8"/>
      <c r="I13" s="8"/>
      <c r="J13" s="8"/>
      <c r="K13" s="8"/>
      <c r="L13" s="8"/>
      <c r="M13" s="8"/>
      <c r="N13" s="8"/>
      <c r="O13" s="8"/>
      <c r="P13" s="8"/>
      <c r="Q13" s="8"/>
      <c r="R13" s="8"/>
      <c r="S13" s="8"/>
      <c r="T13" s="8"/>
      <c r="U13" s="8"/>
      <c r="V13" s="8"/>
      <c r="W13" s="8"/>
      <c r="X13" s="8"/>
      <c r="Y13" s="8"/>
      <c r="Z13" s="8"/>
    </row>
    <row r="14" spans="1:26" ht="12.5" x14ac:dyDescent="0.25">
      <c r="A14" s="6" t="s">
        <v>60</v>
      </c>
      <c r="B14" s="6" t="s">
        <v>61</v>
      </c>
      <c r="C14" s="6"/>
      <c r="D14" s="6"/>
      <c r="E14" s="6"/>
      <c r="F14" s="6"/>
      <c r="G14" s="6"/>
      <c r="H14" s="6"/>
      <c r="I14" s="6"/>
      <c r="J14" s="6"/>
      <c r="K14" s="6"/>
      <c r="L14" s="6"/>
      <c r="M14" s="6"/>
      <c r="N14" s="6"/>
      <c r="O14" s="6"/>
      <c r="P14" s="6"/>
      <c r="Q14" s="6"/>
      <c r="R14" s="6"/>
      <c r="S14" s="6"/>
      <c r="T14" s="6"/>
      <c r="U14" s="6"/>
      <c r="V14" s="6"/>
      <c r="W14" s="6"/>
      <c r="X14" s="6"/>
      <c r="Y14" s="6"/>
      <c r="Z14" s="6"/>
    </row>
    <row r="15" spans="1:26" ht="12.5" x14ac:dyDescent="0.25">
      <c r="A15" s="8" t="s">
        <v>64</v>
      </c>
      <c r="B15" s="8" t="s">
        <v>65</v>
      </c>
      <c r="C15" s="8"/>
      <c r="D15" s="8"/>
      <c r="E15" s="8"/>
      <c r="F15" s="8"/>
      <c r="G15" s="8"/>
      <c r="H15" s="8"/>
      <c r="I15" s="8"/>
      <c r="J15" s="8"/>
      <c r="K15" s="8"/>
      <c r="L15" s="8"/>
      <c r="M15" s="8"/>
      <c r="N15" s="8"/>
      <c r="O15" s="8"/>
      <c r="P15" s="8"/>
      <c r="Q15" s="8"/>
      <c r="R15" s="8"/>
      <c r="S15" s="8"/>
      <c r="T15" s="8"/>
      <c r="U15" s="8"/>
      <c r="V15" s="8"/>
      <c r="W15" s="8"/>
      <c r="X15" s="8"/>
      <c r="Y15" s="8"/>
      <c r="Z15" s="8"/>
    </row>
    <row r="16" spans="1:26" ht="25.5" x14ac:dyDescent="0.25">
      <c r="A16" s="6" t="s">
        <v>70</v>
      </c>
      <c r="B16" s="6" t="s">
        <v>74</v>
      </c>
      <c r="C16" s="6"/>
      <c r="D16" s="6"/>
      <c r="E16" s="6"/>
      <c r="F16" s="6"/>
      <c r="G16" s="6"/>
      <c r="H16" s="6"/>
      <c r="I16" s="6"/>
      <c r="J16" s="6"/>
      <c r="K16" s="6"/>
      <c r="L16" s="6"/>
      <c r="M16" s="6"/>
      <c r="N16" s="6"/>
      <c r="O16" s="6"/>
      <c r="P16" s="6"/>
      <c r="Q16" s="6"/>
      <c r="R16" s="6"/>
      <c r="S16" s="6"/>
      <c r="T16" s="6"/>
      <c r="U16" s="6"/>
      <c r="V16" s="6"/>
      <c r="W16" s="6"/>
      <c r="X16" s="6"/>
      <c r="Y16" s="6"/>
      <c r="Z16" s="6"/>
    </row>
    <row r="17" spans="1:26" ht="12.5" x14ac:dyDescent="0.25">
      <c r="A17" s="13" t="s">
        <v>81</v>
      </c>
      <c r="B17" s="13" t="s">
        <v>82</v>
      </c>
      <c r="C17" s="8" t="s">
        <v>83</v>
      </c>
      <c r="D17" s="8" t="s">
        <v>84</v>
      </c>
      <c r="E17" s="8"/>
      <c r="F17" s="8"/>
      <c r="G17" s="8"/>
      <c r="H17" s="8"/>
      <c r="I17" s="8"/>
      <c r="J17" s="8"/>
      <c r="K17" s="8"/>
      <c r="L17" s="8"/>
      <c r="M17" s="8"/>
      <c r="N17" s="8"/>
      <c r="O17" s="8"/>
      <c r="P17" s="8"/>
      <c r="Q17" s="8"/>
      <c r="R17" s="8"/>
      <c r="S17" s="8"/>
      <c r="T17" s="8"/>
      <c r="U17" s="8"/>
      <c r="V17" s="8"/>
      <c r="W17" s="8"/>
      <c r="X17" s="8"/>
      <c r="Y17" s="8"/>
      <c r="Z17" s="8"/>
    </row>
    <row r="18" spans="1:26" ht="50" x14ac:dyDescent="0.25">
      <c r="A18" s="14"/>
      <c r="B18" s="14"/>
      <c r="C18" s="6" t="s">
        <v>85</v>
      </c>
      <c r="D18" s="6" t="s">
        <v>86</v>
      </c>
      <c r="E18" s="6"/>
      <c r="F18" s="6"/>
      <c r="G18" s="6"/>
      <c r="H18" s="6"/>
      <c r="I18" s="6"/>
      <c r="J18" s="6"/>
      <c r="K18" s="6"/>
      <c r="L18" s="6"/>
      <c r="M18" s="6"/>
      <c r="N18" s="6"/>
      <c r="O18" s="6"/>
      <c r="P18" s="6"/>
      <c r="Q18" s="6"/>
      <c r="R18" s="6"/>
      <c r="S18" s="6"/>
      <c r="T18" s="6"/>
      <c r="U18" s="6"/>
      <c r="V18" s="6"/>
      <c r="W18" s="6"/>
      <c r="X18" s="6"/>
      <c r="Y18" s="6"/>
      <c r="Z18" s="6"/>
    </row>
    <row r="19" spans="1:26" ht="12.5" x14ac:dyDescent="0.25">
      <c r="A19" s="8" t="s">
        <v>89</v>
      </c>
      <c r="B19" s="8" t="s">
        <v>90</v>
      </c>
      <c r="C19" s="8"/>
      <c r="D19" s="8"/>
      <c r="E19" s="8"/>
      <c r="F19" s="8"/>
      <c r="G19" s="8"/>
      <c r="H19" s="8"/>
      <c r="I19" s="8"/>
      <c r="J19" s="8"/>
      <c r="K19" s="8"/>
      <c r="L19" s="8"/>
      <c r="M19" s="8"/>
      <c r="N19" s="8"/>
      <c r="O19" s="8"/>
      <c r="P19" s="8"/>
      <c r="Q19" s="8"/>
      <c r="R19" s="8"/>
      <c r="S19" s="8"/>
      <c r="T19" s="8"/>
      <c r="U19" s="8"/>
      <c r="V19" s="8"/>
      <c r="W19" s="8"/>
      <c r="X19" s="8"/>
      <c r="Y19" s="8"/>
      <c r="Z19" s="8"/>
    </row>
    <row r="20" spans="1:26" ht="12.5" x14ac:dyDescent="0.25">
      <c r="A20" s="6" t="s">
        <v>93</v>
      </c>
      <c r="B20" s="6" t="s">
        <v>94</v>
      </c>
      <c r="C20" s="6"/>
      <c r="D20" s="6"/>
      <c r="E20" s="6"/>
      <c r="F20" s="6"/>
      <c r="G20" s="6"/>
      <c r="H20" s="6"/>
      <c r="I20" s="6"/>
      <c r="J20" s="6"/>
      <c r="K20" s="6"/>
      <c r="L20" s="6"/>
      <c r="M20" s="6"/>
      <c r="N20" s="6"/>
      <c r="O20" s="6"/>
      <c r="P20" s="6"/>
      <c r="Q20" s="6"/>
      <c r="R20" s="6"/>
      <c r="S20" s="6"/>
      <c r="T20" s="6"/>
      <c r="U20" s="6"/>
      <c r="V20" s="6"/>
      <c r="W20" s="6"/>
      <c r="X20" s="6"/>
      <c r="Y20" s="6"/>
      <c r="Z20" s="6"/>
    </row>
    <row r="21" spans="1:26" ht="12.5" x14ac:dyDescent="0.25">
      <c r="A21" s="8" t="s">
        <v>97</v>
      </c>
      <c r="B21" s="8" t="s">
        <v>98</v>
      </c>
      <c r="C21" s="8"/>
      <c r="D21" s="8"/>
      <c r="E21" s="8"/>
      <c r="F21" s="8"/>
      <c r="G21" s="8"/>
      <c r="H21" s="8"/>
      <c r="I21" s="8"/>
      <c r="J21" s="8"/>
      <c r="K21" s="8"/>
      <c r="L21" s="8"/>
      <c r="M21" s="8"/>
      <c r="N21" s="8"/>
      <c r="O21" s="8"/>
      <c r="P21" s="8"/>
      <c r="Q21" s="8"/>
      <c r="R21" s="8"/>
      <c r="S21" s="8"/>
      <c r="T21" s="8"/>
      <c r="U21" s="8"/>
      <c r="V21" s="8"/>
      <c r="W21" s="8"/>
      <c r="X21" s="8"/>
      <c r="Y21" s="8"/>
      <c r="Z21" s="8"/>
    </row>
    <row r="22" spans="1:26" ht="12.5" x14ac:dyDescent="0.25">
      <c r="A22" s="6" t="s">
        <v>100</v>
      </c>
      <c r="B22" s="6" t="s">
        <v>102</v>
      </c>
      <c r="C22" s="6"/>
      <c r="D22" s="6"/>
      <c r="E22" s="6"/>
      <c r="F22" s="6"/>
      <c r="G22" s="6"/>
      <c r="H22" s="6"/>
      <c r="I22" s="6"/>
      <c r="J22" s="6"/>
      <c r="K22" s="6"/>
      <c r="L22" s="6"/>
      <c r="M22" s="6"/>
      <c r="N22" s="6"/>
      <c r="O22" s="6"/>
      <c r="P22" s="6"/>
      <c r="Q22" s="6"/>
      <c r="R22" s="6"/>
      <c r="S22" s="6"/>
      <c r="T22" s="6"/>
      <c r="U22" s="6"/>
      <c r="V22" s="6"/>
      <c r="W22" s="6"/>
      <c r="X22" s="6"/>
      <c r="Y22" s="6"/>
      <c r="Z22" s="6"/>
    </row>
    <row r="23" spans="1:26" ht="37.5" x14ac:dyDescent="0.25">
      <c r="A23" s="8" t="s">
        <v>103</v>
      </c>
      <c r="B23" s="8" t="s">
        <v>104</v>
      </c>
      <c r="C23" s="8"/>
      <c r="D23" s="8"/>
      <c r="E23" s="8"/>
      <c r="F23" s="8"/>
      <c r="G23" s="8"/>
      <c r="H23" s="8"/>
      <c r="I23" s="8"/>
      <c r="J23" s="8"/>
      <c r="K23" s="8"/>
      <c r="L23" s="8"/>
      <c r="M23" s="8"/>
      <c r="N23" s="8"/>
      <c r="O23" s="8"/>
      <c r="P23" s="8"/>
      <c r="Q23" s="8"/>
      <c r="R23" s="8"/>
      <c r="S23" s="8"/>
      <c r="T23" s="8"/>
      <c r="U23" s="8"/>
      <c r="V23" s="8"/>
      <c r="W23" s="8"/>
      <c r="X23" s="8"/>
      <c r="Y23" s="8"/>
      <c r="Z23" s="8"/>
    </row>
    <row r="24" spans="1:26" ht="12.5" x14ac:dyDescent="0.25">
      <c r="A24" s="6" t="s">
        <v>109</v>
      </c>
      <c r="B24" s="6" t="s">
        <v>110</v>
      </c>
      <c r="C24" s="6"/>
      <c r="D24" s="6"/>
      <c r="E24" s="6"/>
      <c r="F24" s="6"/>
      <c r="G24" s="6"/>
      <c r="H24" s="6"/>
      <c r="I24" s="6"/>
      <c r="J24" s="6"/>
      <c r="K24" s="6"/>
      <c r="L24" s="6"/>
      <c r="M24" s="6"/>
      <c r="N24" s="6"/>
      <c r="O24" s="6"/>
      <c r="P24" s="6"/>
      <c r="Q24" s="6"/>
      <c r="R24" s="6"/>
      <c r="S24" s="6"/>
      <c r="T24" s="6"/>
      <c r="U24" s="6"/>
      <c r="V24" s="6"/>
      <c r="W24" s="6"/>
      <c r="X24" s="6"/>
      <c r="Y24" s="6"/>
      <c r="Z24" s="6"/>
    </row>
    <row r="25" spans="1:26" ht="12.5" x14ac:dyDescent="0.25">
      <c r="A25" s="8" t="s">
        <v>113</v>
      </c>
      <c r="B25" s="8" t="s">
        <v>114</v>
      </c>
      <c r="C25" s="8"/>
      <c r="D25" s="8"/>
      <c r="E25" s="8"/>
      <c r="F25" s="8"/>
      <c r="G25" s="8"/>
      <c r="H25" s="8"/>
      <c r="I25" s="8"/>
      <c r="J25" s="8"/>
      <c r="K25" s="8"/>
      <c r="L25" s="8"/>
      <c r="M25" s="8"/>
      <c r="N25" s="8"/>
      <c r="O25" s="8"/>
      <c r="P25" s="8"/>
      <c r="Q25" s="8"/>
      <c r="R25" s="8"/>
      <c r="S25" s="8"/>
      <c r="T25" s="8"/>
      <c r="U25" s="8"/>
      <c r="V25" s="8"/>
      <c r="W25" s="8"/>
      <c r="X25" s="8"/>
      <c r="Y25" s="8"/>
      <c r="Z25" s="8"/>
    </row>
    <row r="26" spans="1:26" ht="12.5" x14ac:dyDescent="0.25">
      <c r="A26" s="6" t="s">
        <v>117</v>
      </c>
      <c r="B26" s="6" t="s">
        <v>119</v>
      </c>
      <c r="C26" s="6"/>
      <c r="D26" s="6"/>
      <c r="E26" s="6"/>
      <c r="F26" s="6"/>
      <c r="G26" s="6"/>
      <c r="H26" s="6"/>
      <c r="I26" s="6"/>
      <c r="J26" s="6"/>
      <c r="K26" s="6"/>
      <c r="L26" s="6"/>
      <c r="M26" s="6"/>
      <c r="N26" s="6"/>
      <c r="O26" s="6"/>
      <c r="P26" s="6"/>
      <c r="Q26" s="6"/>
      <c r="R26" s="6"/>
      <c r="S26" s="6"/>
      <c r="T26" s="6"/>
      <c r="U26" s="6"/>
      <c r="V26" s="6"/>
      <c r="W26" s="6"/>
      <c r="X26" s="6"/>
      <c r="Y26" s="6"/>
      <c r="Z26" s="6"/>
    </row>
    <row r="27" spans="1:26" ht="12.5" x14ac:dyDescent="0.25">
      <c r="A27" s="8" t="s">
        <v>123</v>
      </c>
      <c r="B27" s="8" t="s">
        <v>124</v>
      </c>
      <c r="C27" s="8"/>
      <c r="D27" s="8"/>
      <c r="E27" s="8"/>
      <c r="F27" s="8"/>
      <c r="G27" s="8"/>
      <c r="H27" s="8"/>
      <c r="I27" s="8"/>
      <c r="J27" s="8"/>
      <c r="K27" s="8"/>
      <c r="L27" s="8"/>
      <c r="M27" s="8"/>
      <c r="N27" s="8"/>
      <c r="O27" s="8"/>
      <c r="P27" s="8"/>
      <c r="Q27" s="8"/>
      <c r="R27" s="8"/>
      <c r="S27" s="8"/>
      <c r="T27" s="8"/>
      <c r="U27" s="8"/>
      <c r="V27" s="8"/>
      <c r="W27" s="8"/>
      <c r="X27" s="8"/>
      <c r="Y27" s="8"/>
      <c r="Z27" s="8"/>
    </row>
    <row r="28" spans="1:26" ht="25" x14ac:dyDescent="0.25">
      <c r="A28" s="6" t="s">
        <v>127</v>
      </c>
      <c r="B28" s="6" t="s">
        <v>128</v>
      </c>
      <c r="C28" s="6"/>
      <c r="D28" s="6"/>
      <c r="E28" s="6"/>
      <c r="F28" s="6"/>
      <c r="G28" s="6"/>
      <c r="H28" s="6"/>
      <c r="I28" s="6"/>
      <c r="J28" s="6"/>
      <c r="K28" s="6"/>
      <c r="L28" s="6"/>
      <c r="M28" s="6"/>
      <c r="N28" s="6"/>
      <c r="O28" s="6"/>
      <c r="P28" s="6"/>
      <c r="Q28" s="6"/>
      <c r="R28" s="6"/>
      <c r="S28" s="6"/>
      <c r="T28" s="6"/>
      <c r="U28" s="6"/>
      <c r="V28" s="6"/>
      <c r="W28" s="6"/>
      <c r="X28" s="6"/>
      <c r="Y28" s="6"/>
      <c r="Z28" s="6"/>
    </row>
    <row r="29" spans="1:26" ht="12.5" x14ac:dyDescent="0.25">
      <c r="A29" s="8" t="s">
        <v>131</v>
      </c>
      <c r="B29" s="8" t="str">
        <f ca="1">IFERROR(__xludf.DUMMYFUNCTION("AI(""Fill an appropriate value for this cell based on the table context"")"),"Use logic, estimation, or test numbers instead of performing complex calculations.")</f>
        <v>Use logic, estimation, or test numbers instead of performing complex calculations.</v>
      </c>
      <c r="C29" s="8"/>
      <c r="D29" s="8"/>
      <c r="E29" s="8"/>
      <c r="F29" s="8"/>
      <c r="G29" s="8"/>
      <c r="H29" s="8"/>
      <c r="I29" s="8"/>
      <c r="J29" s="8"/>
      <c r="K29" s="8"/>
      <c r="L29" s="8"/>
      <c r="M29" s="8"/>
      <c r="N29" s="8"/>
      <c r="O29" s="8"/>
      <c r="P29" s="8"/>
      <c r="Q29" s="8"/>
      <c r="R29" s="8"/>
      <c r="S29" s="8"/>
      <c r="T29" s="8"/>
      <c r="U29" s="8"/>
      <c r="V29" s="8"/>
      <c r="W29" s="8"/>
      <c r="X29" s="8"/>
      <c r="Y29" s="8"/>
      <c r="Z29" s="8"/>
    </row>
    <row r="30" spans="1:26" ht="12.5" x14ac:dyDescent="0.25">
      <c r="A30" s="6" t="s">
        <v>135</v>
      </c>
      <c r="B30" s="6" t="s">
        <v>137</v>
      </c>
      <c r="C30" s="6"/>
      <c r="D30" s="6"/>
      <c r="E30" s="6"/>
      <c r="F30" s="6"/>
      <c r="G30" s="6"/>
      <c r="H30" s="6"/>
      <c r="I30" s="6"/>
      <c r="J30" s="6"/>
      <c r="K30" s="6"/>
      <c r="L30" s="6"/>
      <c r="M30" s="6"/>
      <c r="N30" s="6"/>
      <c r="O30" s="6"/>
      <c r="P30" s="6"/>
      <c r="Q30" s="6"/>
      <c r="R30" s="6"/>
      <c r="S30" s="6"/>
      <c r="T30" s="6"/>
      <c r="U30" s="6"/>
      <c r="V30" s="6"/>
      <c r="W30" s="6"/>
      <c r="X30" s="6"/>
      <c r="Y30" s="6"/>
      <c r="Z30" s="6"/>
    </row>
    <row r="31" spans="1:26" ht="12.5" x14ac:dyDescent="0.25">
      <c r="A31" s="8" t="s">
        <v>140</v>
      </c>
      <c r="B31" s="8" t="s">
        <v>141</v>
      </c>
      <c r="C31" s="8"/>
      <c r="D31" s="8"/>
      <c r="E31" s="8"/>
      <c r="F31" s="8"/>
      <c r="G31" s="8"/>
      <c r="H31" s="8"/>
      <c r="I31" s="8"/>
      <c r="J31" s="8"/>
      <c r="K31" s="8"/>
      <c r="L31" s="8"/>
      <c r="M31" s="8"/>
      <c r="N31" s="8"/>
      <c r="O31" s="8"/>
      <c r="P31" s="8"/>
      <c r="Q31" s="8"/>
      <c r="R31" s="8"/>
      <c r="S31" s="8"/>
      <c r="T31" s="8"/>
      <c r="U31" s="8"/>
      <c r="V31" s="8"/>
      <c r="W31" s="8"/>
      <c r="X31" s="8"/>
      <c r="Y31" s="8"/>
      <c r="Z31" s="8"/>
    </row>
    <row r="32" spans="1:26" ht="25" x14ac:dyDescent="0.25">
      <c r="A32" s="6" t="s">
        <v>144</v>
      </c>
      <c r="B32" s="6" t="s">
        <v>145</v>
      </c>
      <c r="C32" s="6"/>
      <c r="D32" s="6"/>
      <c r="E32" s="6"/>
      <c r="F32" s="6"/>
      <c r="G32" s="6"/>
      <c r="H32" s="6"/>
      <c r="I32" s="6"/>
      <c r="J32" s="6"/>
      <c r="K32" s="6"/>
      <c r="L32" s="6"/>
      <c r="M32" s="6"/>
      <c r="N32" s="6"/>
      <c r="O32" s="6"/>
      <c r="P32" s="6"/>
      <c r="Q32" s="6"/>
      <c r="R32" s="6"/>
      <c r="S32" s="6"/>
      <c r="T32" s="6"/>
      <c r="U32" s="6"/>
      <c r="V32" s="6"/>
      <c r="W32" s="6"/>
      <c r="X32" s="6"/>
      <c r="Y32" s="6"/>
      <c r="Z32" s="6"/>
    </row>
    <row r="33" spans="1:26" ht="12.5" x14ac:dyDescent="0.25">
      <c r="A33" s="8" t="s">
        <v>149</v>
      </c>
      <c r="B33" s="8" t="s">
        <v>151</v>
      </c>
      <c r="C33" s="8"/>
      <c r="D33" s="8"/>
      <c r="E33" s="8"/>
      <c r="F33" s="8"/>
      <c r="G33" s="8"/>
      <c r="H33" s="8"/>
      <c r="I33" s="8"/>
      <c r="J33" s="8"/>
      <c r="K33" s="8"/>
      <c r="L33" s="8"/>
      <c r="M33" s="8"/>
      <c r="N33" s="8"/>
      <c r="O33" s="8"/>
      <c r="P33" s="8"/>
      <c r="Q33" s="8"/>
      <c r="R33" s="8"/>
      <c r="S33" s="8"/>
      <c r="T33" s="8"/>
      <c r="U33" s="8"/>
      <c r="V33" s="8"/>
      <c r="W33" s="8"/>
      <c r="X33" s="8"/>
      <c r="Y33" s="8"/>
      <c r="Z33" s="8"/>
    </row>
    <row r="34" spans="1:26" ht="25" x14ac:dyDescent="0.25">
      <c r="A34" s="6" t="s">
        <v>154</v>
      </c>
      <c r="B34" s="6" t="s">
        <v>155</v>
      </c>
      <c r="C34" s="6"/>
      <c r="D34" s="6"/>
      <c r="E34" s="6"/>
      <c r="F34" s="6"/>
      <c r="G34" s="6"/>
      <c r="H34" s="6"/>
      <c r="I34" s="6"/>
      <c r="J34" s="6"/>
      <c r="K34" s="6"/>
      <c r="L34" s="6"/>
      <c r="M34" s="6"/>
      <c r="N34" s="6"/>
      <c r="O34" s="6"/>
      <c r="P34" s="6"/>
      <c r="Q34" s="6"/>
      <c r="R34" s="6"/>
      <c r="S34" s="6"/>
      <c r="T34" s="6"/>
      <c r="U34" s="6"/>
      <c r="V34" s="6"/>
      <c r="W34" s="6"/>
      <c r="X34" s="6"/>
      <c r="Y34" s="6"/>
      <c r="Z34" s="6"/>
    </row>
    <row r="35" spans="1:26" ht="25" x14ac:dyDescent="0.25">
      <c r="A35" s="8" t="s">
        <v>158</v>
      </c>
      <c r="B35" s="8" t="s">
        <v>159</v>
      </c>
      <c r="C35" s="8"/>
      <c r="D35" s="8"/>
      <c r="E35" s="8"/>
      <c r="F35" s="8"/>
      <c r="G35" s="8"/>
      <c r="H35" s="8"/>
      <c r="I35" s="8"/>
      <c r="J35" s="8"/>
      <c r="K35" s="8"/>
      <c r="L35" s="8"/>
      <c r="M35" s="8"/>
      <c r="N35" s="8"/>
      <c r="O35" s="8"/>
      <c r="P35" s="8"/>
      <c r="Q35" s="8"/>
      <c r="R35" s="8"/>
      <c r="S35" s="8"/>
      <c r="T35" s="8"/>
      <c r="U35" s="8"/>
      <c r="V35" s="8"/>
      <c r="W35" s="8"/>
      <c r="X35" s="8"/>
      <c r="Y35" s="8"/>
      <c r="Z35" s="8"/>
    </row>
    <row r="36" spans="1:26" ht="12.5" x14ac:dyDescent="0.25">
      <c r="A36" s="6" t="s">
        <v>164</v>
      </c>
      <c r="B36" s="6" t="s">
        <v>165</v>
      </c>
      <c r="C36" s="6"/>
      <c r="D36" s="6"/>
      <c r="E36" s="6"/>
      <c r="F36" s="6"/>
      <c r="G36" s="6"/>
      <c r="H36" s="6"/>
      <c r="I36" s="6"/>
      <c r="J36" s="6"/>
      <c r="K36" s="6"/>
      <c r="L36" s="6"/>
      <c r="M36" s="6"/>
      <c r="N36" s="6"/>
      <c r="O36" s="6"/>
      <c r="P36" s="6"/>
      <c r="Q36" s="6"/>
      <c r="R36" s="6"/>
      <c r="S36" s="6"/>
      <c r="T36" s="6"/>
      <c r="U36" s="6"/>
      <c r="V36" s="6"/>
      <c r="W36" s="6"/>
      <c r="X36" s="6"/>
      <c r="Y36" s="6"/>
      <c r="Z36" s="6"/>
    </row>
    <row r="37" spans="1:26" ht="37.5" x14ac:dyDescent="0.25">
      <c r="A37" s="8" t="s">
        <v>166</v>
      </c>
      <c r="B37" s="8" t="s">
        <v>169</v>
      </c>
      <c r="C37" s="8"/>
      <c r="D37" s="8"/>
      <c r="E37" s="8"/>
      <c r="F37" s="8"/>
      <c r="G37" s="8"/>
      <c r="H37" s="8"/>
      <c r="I37" s="8"/>
      <c r="J37" s="8"/>
      <c r="K37" s="8"/>
      <c r="L37" s="8"/>
      <c r="M37" s="8"/>
      <c r="N37" s="8"/>
      <c r="O37" s="8"/>
      <c r="P37" s="8"/>
      <c r="Q37" s="8"/>
      <c r="R37" s="8"/>
      <c r="S37" s="8"/>
      <c r="T37" s="8"/>
      <c r="U37" s="8"/>
      <c r="V37" s="8"/>
      <c r="W37" s="8"/>
      <c r="X37" s="8"/>
      <c r="Y37" s="8"/>
      <c r="Z37" s="8"/>
    </row>
    <row r="38" spans="1:26" ht="12.5" x14ac:dyDescent="0.25">
      <c r="A38" s="6" t="s">
        <v>170</v>
      </c>
      <c r="B38" s="6" t="s">
        <v>172</v>
      </c>
      <c r="C38" s="6"/>
      <c r="D38" s="6"/>
      <c r="E38" s="6"/>
      <c r="F38" s="6"/>
      <c r="G38" s="6"/>
      <c r="H38" s="6"/>
      <c r="I38" s="6"/>
      <c r="J38" s="6"/>
      <c r="K38" s="6"/>
      <c r="L38" s="6"/>
      <c r="M38" s="6"/>
      <c r="N38" s="6"/>
      <c r="O38" s="6"/>
      <c r="P38" s="6"/>
      <c r="Q38" s="6"/>
      <c r="R38" s="6"/>
      <c r="S38" s="6"/>
      <c r="T38" s="6"/>
      <c r="U38" s="6"/>
      <c r="V38" s="6"/>
      <c r="W38" s="6"/>
      <c r="X38" s="6"/>
      <c r="Y38" s="6"/>
      <c r="Z38" s="6"/>
    </row>
    <row r="39" spans="1:26" ht="12.5" x14ac:dyDescent="0.25">
      <c r="A39" s="8" t="s">
        <v>174</v>
      </c>
      <c r="B39" s="8" t="s">
        <v>175</v>
      </c>
      <c r="C39" s="8"/>
      <c r="D39" s="8"/>
      <c r="E39" s="8"/>
      <c r="F39" s="8"/>
      <c r="G39" s="8"/>
      <c r="H39" s="8"/>
      <c r="I39" s="8"/>
      <c r="J39" s="8"/>
      <c r="K39" s="8"/>
      <c r="L39" s="8"/>
      <c r="M39" s="8"/>
      <c r="N39" s="8"/>
      <c r="O39" s="8"/>
      <c r="P39" s="8"/>
      <c r="Q39" s="8"/>
      <c r="R39" s="8"/>
      <c r="S39" s="8"/>
      <c r="T39" s="8"/>
      <c r="U39" s="8"/>
      <c r="V39" s="8"/>
      <c r="W39" s="8"/>
      <c r="X39" s="8"/>
      <c r="Y39" s="8"/>
      <c r="Z39" s="8"/>
    </row>
    <row r="40" spans="1:26" ht="12.5" x14ac:dyDescent="0.25">
      <c r="A40" s="6" t="s">
        <v>178</v>
      </c>
      <c r="B40" s="6" t="s">
        <v>179</v>
      </c>
      <c r="C40" s="6"/>
      <c r="D40" s="6"/>
      <c r="E40" s="6"/>
      <c r="F40" s="6"/>
      <c r="G40" s="6"/>
      <c r="H40" s="6"/>
      <c r="I40" s="6"/>
      <c r="J40" s="6"/>
      <c r="K40" s="6"/>
      <c r="L40" s="6"/>
      <c r="M40" s="6"/>
      <c r="N40" s="6"/>
      <c r="O40" s="6"/>
      <c r="P40" s="6"/>
      <c r="Q40" s="6"/>
      <c r="R40" s="6"/>
      <c r="S40" s="6"/>
      <c r="T40" s="6"/>
      <c r="U40" s="6"/>
      <c r="V40" s="6"/>
      <c r="W40" s="6"/>
      <c r="X40" s="6"/>
      <c r="Y40" s="6"/>
      <c r="Z40" s="6"/>
    </row>
    <row r="41" spans="1:26" ht="12.5" x14ac:dyDescent="0.25">
      <c r="A41" s="8" t="s">
        <v>182</v>
      </c>
      <c r="B41" s="8" t="s">
        <v>183</v>
      </c>
      <c r="C41" s="8"/>
      <c r="D41" s="8"/>
      <c r="E41" s="8"/>
      <c r="F41" s="8"/>
      <c r="G41" s="8"/>
      <c r="H41" s="8"/>
      <c r="I41" s="8"/>
      <c r="J41" s="8"/>
      <c r="K41" s="8"/>
      <c r="L41" s="8"/>
      <c r="M41" s="8"/>
      <c r="N41" s="8"/>
      <c r="O41" s="8"/>
      <c r="P41" s="8"/>
      <c r="Q41" s="8"/>
      <c r="R41" s="8"/>
      <c r="S41" s="8"/>
      <c r="T41" s="8"/>
      <c r="U41" s="8"/>
      <c r="V41" s="8"/>
      <c r="W41" s="8"/>
      <c r="X41" s="8"/>
      <c r="Y41" s="8"/>
      <c r="Z41" s="8"/>
    </row>
    <row r="42" spans="1:26" ht="12.5" x14ac:dyDescent="0.25">
      <c r="A42" s="6" t="s">
        <v>186</v>
      </c>
      <c r="B42" s="6" t="s">
        <v>187</v>
      </c>
      <c r="C42" s="6"/>
      <c r="D42" s="6"/>
      <c r="E42" s="6"/>
      <c r="F42" s="6"/>
      <c r="G42" s="6"/>
      <c r="H42" s="6"/>
      <c r="I42" s="6"/>
      <c r="J42" s="6"/>
      <c r="K42" s="6"/>
      <c r="L42" s="6"/>
      <c r="M42" s="6"/>
      <c r="N42" s="6"/>
      <c r="O42" s="6"/>
      <c r="P42" s="6"/>
      <c r="Q42" s="6"/>
      <c r="R42" s="6"/>
      <c r="S42" s="6"/>
      <c r="T42" s="6"/>
      <c r="U42" s="6"/>
      <c r="V42" s="6"/>
      <c r="W42" s="6"/>
      <c r="X42" s="6"/>
      <c r="Y42" s="6"/>
      <c r="Z42" s="6"/>
    </row>
    <row r="43" spans="1:26" ht="12.5" x14ac:dyDescent="0.25">
      <c r="A43" s="8" t="s">
        <v>190</v>
      </c>
      <c r="B43" s="8" t="s">
        <v>191</v>
      </c>
      <c r="C43" s="8"/>
      <c r="D43" s="8"/>
      <c r="E43" s="8"/>
      <c r="F43" s="8"/>
      <c r="G43" s="8"/>
      <c r="H43" s="8"/>
      <c r="I43" s="8"/>
      <c r="J43" s="8"/>
      <c r="K43" s="8"/>
      <c r="L43" s="8"/>
      <c r="M43" s="8"/>
      <c r="N43" s="8"/>
      <c r="O43" s="8"/>
      <c r="P43" s="8"/>
      <c r="Q43" s="8"/>
      <c r="R43" s="8"/>
      <c r="S43" s="8"/>
      <c r="T43" s="8"/>
      <c r="U43" s="8"/>
      <c r="V43" s="8"/>
      <c r="W43" s="8"/>
      <c r="X43" s="8"/>
      <c r="Y43" s="8"/>
      <c r="Z43" s="8"/>
    </row>
    <row r="44" spans="1:26" ht="12.5" x14ac:dyDescent="0.25">
      <c r="A44" s="6" t="s">
        <v>194</v>
      </c>
      <c r="B44" s="6" t="s">
        <v>195</v>
      </c>
      <c r="C44" s="6"/>
      <c r="D44" s="6"/>
      <c r="E44" s="6"/>
      <c r="F44" s="6"/>
      <c r="G44" s="6"/>
      <c r="H44" s="6"/>
      <c r="I44" s="6"/>
      <c r="J44" s="6"/>
      <c r="K44" s="6"/>
      <c r="L44" s="6"/>
      <c r="M44" s="6"/>
      <c r="N44" s="6"/>
      <c r="O44" s="6"/>
      <c r="P44" s="6"/>
      <c r="Q44" s="6"/>
      <c r="R44" s="6"/>
      <c r="S44" s="6"/>
      <c r="T44" s="6"/>
      <c r="U44" s="6"/>
      <c r="V44" s="6"/>
      <c r="W44" s="6"/>
      <c r="X44" s="6"/>
      <c r="Y44" s="6"/>
      <c r="Z44" s="6"/>
    </row>
    <row r="45" spans="1:26" ht="12.5" x14ac:dyDescent="0.25">
      <c r="A45" s="8" t="s">
        <v>198</v>
      </c>
      <c r="B45" s="8" t="s">
        <v>199</v>
      </c>
      <c r="C45" s="8"/>
      <c r="D45" s="8"/>
      <c r="E45" s="8"/>
      <c r="F45" s="8"/>
      <c r="G45" s="8"/>
      <c r="H45" s="8"/>
      <c r="I45" s="8"/>
      <c r="J45" s="8"/>
      <c r="K45" s="8"/>
      <c r="L45" s="8"/>
      <c r="M45" s="8"/>
      <c r="N45" s="8"/>
      <c r="O45" s="8"/>
      <c r="P45" s="8"/>
      <c r="Q45" s="8"/>
      <c r="R45" s="8"/>
      <c r="S45" s="8"/>
      <c r="T45" s="8"/>
      <c r="U45" s="8"/>
      <c r="V45" s="8"/>
      <c r="W45" s="8"/>
      <c r="X45" s="8"/>
      <c r="Y45" s="8"/>
      <c r="Z45" s="8"/>
    </row>
    <row r="46" spans="1:26" ht="12.5" x14ac:dyDescent="0.25">
      <c r="A46" s="6" t="s">
        <v>202</v>
      </c>
      <c r="B46" s="6" t="s">
        <v>203</v>
      </c>
      <c r="C46" s="6"/>
      <c r="D46" s="6"/>
      <c r="E46" s="6"/>
      <c r="F46" s="6"/>
      <c r="G46" s="6"/>
      <c r="H46" s="6"/>
      <c r="I46" s="6"/>
      <c r="J46" s="6"/>
      <c r="K46" s="6"/>
      <c r="L46" s="6"/>
      <c r="M46" s="6"/>
      <c r="N46" s="6"/>
      <c r="O46" s="6"/>
      <c r="P46" s="6"/>
      <c r="Q46" s="6"/>
      <c r="R46" s="6"/>
      <c r="S46" s="6"/>
      <c r="T46" s="6"/>
      <c r="U46" s="6"/>
      <c r="V46" s="6"/>
      <c r="W46" s="6"/>
      <c r="X46" s="6"/>
      <c r="Y46" s="6"/>
      <c r="Z46" s="6"/>
    </row>
    <row r="47" spans="1:26" ht="25" x14ac:dyDescent="0.25">
      <c r="A47" s="8" t="s">
        <v>206</v>
      </c>
      <c r="B47" s="8" t="s">
        <v>207</v>
      </c>
      <c r="C47" s="8"/>
      <c r="D47" s="8"/>
      <c r="E47" s="8"/>
      <c r="F47" s="8"/>
      <c r="G47" s="8"/>
      <c r="H47" s="8"/>
      <c r="I47" s="8"/>
      <c r="J47" s="8"/>
      <c r="K47" s="8"/>
      <c r="L47" s="8"/>
      <c r="M47" s="8"/>
      <c r="N47" s="8"/>
      <c r="O47" s="8"/>
      <c r="P47" s="8"/>
      <c r="Q47" s="8"/>
      <c r="R47" s="8"/>
      <c r="S47" s="8"/>
      <c r="T47" s="8"/>
      <c r="U47" s="8"/>
      <c r="V47" s="8"/>
      <c r="W47" s="8"/>
      <c r="X47" s="8"/>
      <c r="Y47" s="8"/>
      <c r="Z47" s="8"/>
    </row>
    <row r="48" spans="1:26" ht="12.5" x14ac:dyDescent="0.25">
      <c r="A48" s="15" t="s">
        <v>212</v>
      </c>
      <c r="B48" s="6" t="s">
        <v>213</v>
      </c>
      <c r="C48" s="6"/>
      <c r="D48" s="6"/>
      <c r="E48" s="6"/>
      <c r="F48" s="6"/>
      <c r="G48" s="6"/>
      <c r="H48" s="6"/>
      <c r="I48" s="6"/>
      <c r="J48" s="6"/>
      <c r="K48" s="6"/>
      <c r="L48" s="6"/>
      <c r="M48" s="6"/>
      <c r="N48" s="6"/>
      <c r="O48" s="6"/>
      <c r="P48" s="6"/>
      <c r="Q48" s="6"/>
      <c r="R48" s="6"/>
      <c r="S48" s="6"/>
      <c r="T48" s="6"/>
      <c r="U48" s="6"/>
      <c r="V48" s="6"/>
      <c r="W48" s="6"/>
      <c r="X48" s="6"/>
      <c r="Y48" s="6"/>
      <c r="Z48" s="6"/>
    </row>
    <row r="49" spans="1:26" ht="25" x14ac:dyDescent="0.25">
      <c r="A49" s="14"/>
      <c r="B49" s="8" t="s">
        <v>218</v>
      </c>
      <c r="C49" s="8"/>
      <c r="D49" s="8"/>
      <c r="E49" s="8"/>
      <c r="F49" s="8"/>
      <c r="G49" s="8"/>
      <c r="H49" s="8"/>
      <c r="I49" s="8"/>
      <c r="J49" s="8"/>
      <c r="K49" s="8"/>
      <c r="L49" s="8"/>
      <c r="M49" s="8"/>
      <c r="N49" s="8"/>
      <c r="O49" s="8"/>
      <c r="P49" s="8"/>
      <c r="Q49" s="8"/>
      <c r="R49" s="8"/>
      <c r="S49" s="8"/>
      <c r="T49" s="8"/>
      <c r="U49" s="8"/>
      <c r="V49" s="8"/>
      <c r="W49" s="8"/>
      <c r="X49" s="8"/>
      <c r="Y49" s="8"/>
      <c r="Z49" s="8"/>
    </row>
    <row r="50" spans="1:26" ht="12.5" x14ac:dyDescent="0.25">
      <c r="A50" s="14"/>
      <c r="B50" s="6" t="s">
        <v>221</v>
      </c>
      <c r="D50" s="6"/>
      <c r="E50" s="6"/>
      <c r="F50" s="6"/>
      <c r="G50" s="6"/>
      <c r="H50" s="6"/>
      <c r="I50" s="6"/>
      <c r="J50" s="6"/>
      <c r="K50" s="6"/>
      <c r="L50" s="6"/>
      <c r="M50" s="6"/>
      <c r="N50" s="6"/>
      <c r="O50" s="6"/>
      <c r="P50" s="6"/>
      <c r="Q50" s="6"/>
      <c r="R50" s="6"/>
      <c r="S50" s="6"/>
      <c r="T50" s="6"/>
      <c r="U50" s="6"/>
      <c r="V50" s="6"/>
      <c r="W50" s="6"/>
      <c r="X50" s="6"/>
      <c r="Y50" s="6"/>
      <c r="Z50" s="6"/>
    </row>
    <row r="51" spans="1:26" ht="25" x14ac:dyDescent="0.25">
      <c r="A51" s="14"/>
      <c r="B51" s="8" t="s">
        <v>224</v>
      </c>
      <c r="C51" s="8"/>
      <c r="D51" s="8"/>
      <c r="E51" s="8"/>
      <c r="F51" s="8"/>
      <c r="G51" s="8"/>
      <c r="H51" s="8"/>
      <c r="I51" s="8"/>
      <c r="J51" s="8"/>
      <c r="K51" s="8"/>
      <c r="L51" s="8"/>
      <c r="M51" s="8"/>
      <c r="N51" s="8"/>
      <c r="O51" s="8"/>
      <c r="P51" s="8"/>
      <c r="Q51" s="8"/>
      <c r="R51" s="8"/>
      <c r="S51" s="8"/>
      <c r="T51" s="8"/>
      <c r="U51" s="8"/>
      <c r="V51" s="8"/>
      <c r="W51" s="8"/>
      <c r="X51" s="8"/>
      <c r="Y51" s="8"/>
      <c r="Z51" s="8"/>
    </row>
    <row r="52" spans="1:26" ht="12.5" x14ac:dyDescent="0.25">
      <c r="A52" s="11" t="s">
        <v>227</v>
      </c>
      <c r="B52" s="6" t="s">
        <v>230</v>
      </c>
      <c r="C52" s="6"/>
      <c r="D52" s="6"/>
      <c r="E52" s="6"/>
      <c r="F52" s="6"/>
      <c r="G52" s="6"/>
      <c r="H52" s="6"/>
      <c r="I52" s="6"/>
      <c r="J52" s="6"/>
      <c r="K52" s="6"/>
      <c r="L52" s="6"/>
      <c r="M52" s="6"/>
      <c r="N52" s="6"/>
      <c r="O52" s="6"/>
      <c r="P52" s="6"/>
      <c r="Q52" s="6"/>
      <c r="R52" s="6"/>
      <c r="S52" s="6"/>
      <c r="T52" s="6"/>
      <c r="U52" s="6"/>
      <c r="V52" s="6"/>
      <c r="W52" s="6"/>
      <c r="X52" s="6"/>
      <c r="Y52" s="6"/>
      <c r="Z52" s="6"/>
    </row>
    <row r="53" spans="1:26" ht="25" x14ac:dyDescent="0.25">
      <c r="A53" s="8" t="s">
        <v>233</v>
      </c>
      <c r="B53" s="8" t="s">
        <v>234</v>
      </c>
      <c r="C53" s="8"/>
      <c r="D53" s="8"/>
      <c r="E53" s="8"/>
      <c r="F53" s="8"/>
      <c r="G53" s="8"/>
      <c r="H53" s="8"/>
      <c r="I53" s="8"/>
      <c r="J53" s="8"/>
      <c r="K53" s="8"/>
      <c r="L53" s="8"/>
      <c r="M53" s="8"/>
      <c r="N53" s="8"/>
      <c r="O53" s="8"/>
      <c r="P53" s="8"/>
      <c r="Q53" s="8"/>
      <c r="R53" s="8"/>
      <c r="S53" s="8"/>
      <c r="T53" s="8"/>
      <c r="U53" s="8"/>
      <c r="V53" s="8"/>
      <c r="W53" s="8"/>
      <c r="X53" s="8"/>
      <c r="Y53" s="8"/>
      <c r="Z53" s="8"/>
    </row>
    <row r="54" spans="1:26" ht="12.5" x14ac:dyDescent="0.25">
      <c r="A54" s="6" t="s">
        <v>237</v>
      </c>
      <c r="B54" s="6" t="s">
        <v>238</v>
      </c>
      <c r="C54" s="6"/>
      <c r="D54" s="6"/>
      <c r="E54" s="6"/>
      <c r="F54" s="6"/>
      <c r="G54" s="6"/>
      <c r="H54" s="6"/>
      <c r="I54" s="6"/>
      <c r="J54" s="6"/>
      <c r="K54" s="6"/>
      <c r="L54" s="6"/>
      <c r="M54" s="6"/>
      <c r="N54" s="6"/>
      <c r="O54" s="6"/>
      <c r="P54" s="6"/>
      <c r="Q54" s="6"/>
      <c r="R54" s="6"/>
      <c r="S54" s="6"/>
      <c r="T54" s="6"/>
      <c r="U54" s="6"/>
      <c r="V54" s="6"/>
      <c r="W54" s="6"/>
      <c r="X54" s="6"/>
      <c r="Y54" s="6"/>
      <c r="Z54" s="6"/>
    </row>
    <row r="55" spans="1:26" ht="25" x14ac:dyDescent="0.25">
      <c r="A55" s="8" t="s">
        <v>241</v>
      </c>
      <c r="B55" s="8" t="s">
        <v>242</v>
      </c>
      <c r="C55" s="8"/>
      <c r="D55" s="8"/>
      <c r="E55" s="8"/>
      <c r="F55" s="8"/>
      <c r="G55" s="8"/>
      <c r="H55" s="8"/>
      <c r="I55" s="8"/>
      <c r="J55" s="8"/>
      <c r="K55" s="8"/>
      <c r="L55" s="8"/>
      <c r="M55" s="8"/>
      <c r="N55" s="8"/>
      <c r="O55" s="8"/>
      <c r="P55" s="8"/>
      <c r="Q55" s="8"/>
      <c r="R55" s="8"/>
      <c r="S55" s="8"/>
      <c r="T55" s="8"/>
      <c r="U55" s="8"/>
      <c r="V55" s="8"/>
      <c r="W55" s="8"/>
      <c r="X55" s="8"/>
      <c r="Y55" s="8"/>
      <c r="Z55" s="8"/>
    </row>
    <row r="56" spans="1:26" ht="12.5" x14ac:dyDescent="0.25">
      <c r="A56" s="6" t="s">
        <v>245</v>
      </c>
      <c r="B56" s="6" t="s">
        <v>246</v>
      </c>
      <c r="C56" s="6"/>
      <c r="D56" s="6"/>
      <c r="E56" s="6"/>
      <c r="F56" s="6"/>
      <c r="G56" s="6"/>
      <c r="H56" s="6"/>
      <c r="I56" s="6"/>
      <c r="J56" s="6"/>
      <c r="K56" s="6"/>
      <c r="L56" s="6"/>
      <c r="M56" s="6"/>
      <c r="N56" s="6"/>
      <c r="O56" s="6"/>
      <c r="P56" s="6"/>
      <c r="Q56" s="6"/>
      <c r="R56" s="6"/>
      <c r="S56" s="6"/>
      <c r="T56" s="6"/>
      <c r="U56" s="6"/>
      <c r="V56" s="6"/>
      <c r="W56" s="6"/>
      <c r="X56" s="6"/>
      <c r="Y56" s="6"/>
      <c r="Z56" s="6"/>
    </row>
    <row r="57" spans="1:26" ht="37.5" x14ac:dyDescent="0.25">
      <c r="A57" s="8" t="s">
        <v>249</v>
      </c>
      <c r="B57" s="8" t="s">
        <v>250</v>
      </c>
      <c r="C57" s="8"/>
      <c r="D57" s="8"/>
      <c r="E57" s="8"/>
      <c r="F57" s="8"/>
      <c r="G57" s="8"/>
      <c r="H57" s="8"/>
      <c r="I57" s="8"/>
      <c r="J57" s="8"/>
      <c r="K57" s="8"/>
      <c r="L57" s="8"/>
      <c r="M57" s="8"/>
      <c r="N57" s="8"/>
      <c r="O57" s="8"/>
      <c r="P57" s="8"/>
      <c r="Q57" s="8"/>
      <c r="R57" s="8"/>
      <c r="S57" s="8"/>
      <c r="T57" s="8"/>
      <c r="U57" s="8"/>
      <c r="V57" s="8"/>
      <c r="W57" s="8"/>
      <c r="X57" s="8"/>
      <c r="Y57" s="8"/>
      <c r="Z57" s="8"/>
    </row>
    <row r="58" spans="1:26" ht="12.5" x14ac:dyDescent="0.25">
      <c r="A58" s="6" t="s">
        <v>256</v>
      </c>
      <c r="B58" s="6" t="s">
        <v>258</v>
      </c>
      <c r="C58" s="6"/>
      <c r="D58" s="6"/>
      <c r="E58" s="6"/>
      <c r="F58" s="6"/>
      <c r="G58" s="6"/>
      <c r="H58" s="6"/>
      <c r="I58" s="6"/>
      <c r="J58" s="6"/>
      <c r="K58" s="6"/>
      <c r="L58" s="6"/>
      <c r="M58" s="6"/>
      <c r="N58" s="6"/>
      <c r="O58" s="6"/>
      <c r="P58" s="6"/>
      <c r="Q58" s="6"/>
      <c r="R58" s="6"/>
      <c r="S58" s="6"/>
      <c r="T58" s="6"/>
      <c r="U58" s="6"/>
      <c r="V58" s="6"/>
      <c r="W58" s="6"/>
      <c r="X58" s="6"/>
      <c r="Y58" s="6"/>
      <c r="Z58" s="6"/>
    </row>
    <row r="59" spans="1:26" ht="37.5" x14ac:dyDescent="0.25">
      <c r="A59" s="8" t="s">
        <v>260</v>
      </c>
      <c r="B59" s="8" t="s">
        <v>262</v>
      </c>
      <c r="C59" s="8"/>
      <c r="D59" s="8"/>
      <c r="E59" s="8"/>
      <c r="F59" s="8"/>
      <c r="G59" s="8"/>
      <c r="H59" s="8"/>
      <c r="I59" s="8"/>
      <c r="J59" s="8"/>
      <c r="K59" s="8"/>
      <c r="L59" s="8"/>
      <c r="M59" s="8"/>
      <c r="N59" s="8"/>
      <c r="O59" s="8"/>
      <c r="P59" s="8"/>
      <c r="Q59" s="8"/>
      <c r="R59" s="8"/>
      <c r="S59" s="8"/>
      <c r="T59" s="8"/>
      <c r="U59" s="8"/>
      <c r="V59" s="8"/>
      <c r="W59" s="8"/>
      <c r="X59" s="8"/>
      <c r="Y59" s="8"/>
      <c r="Z59" s="8"/>
    </row>
    <row r="60" spans="1:26" ht="12.5" x14ac:dyDescent="0.25">
      <c r="A60" s="6" t="s">
        <v>264</v>
      </c>
      <c r="B60" s="6"/>
      <c r="C60" s="6"/>
      <c r="D60" s="6"/>
      <c r="E60" s="6"/>
      <c r="F60" s="6"/>
      <c r="G60" s="6"/>
      <c r="H60" s="6"/>
      <c r="I60" s="6"/>
      <c r="J60" s="6"/>
      <c r="K60" s="6"/>
      <c r="L60" s="6"/>
      <c r="M60" s="6"/>
      <c r="N60" s="6"/>
      <c r="O60" s="6"/>
      <c r="P60" s="6"/>
      <c r="Q60" s="6"/>
      <c r="R60" s="6"/>
      <c r="S60" s="6"/>
      <c r="T60" s="6"/>
      <c r="U60" s="6"/>
      <c r="V60" s="6"/>
      <c r="W60" s="6"/>
      <c r="X60" s="6"/>
      <c r="Y60" s="6"/>
      <c r="Z60" s="6"/>
    </row>
    <row r="61" spans="1:26" ht="25" x14ac:dyDescent="0.25">
      <c r="A61" s="8" t="s">
        <v>266</v>
      </c>
      <c r="B61" s="8" t="s">
        <v>267</v>
      </c>
      <c r="C61" s="8"/>
      <c r="D61" s="8"/>
      <c r="E61" s="8"/>
      <c r="F61" s="8"/>
      <c r="G61" s="8"/>
      <c r="H61" s="8"/>
      <c r="I61" s="8"/>
      <c r="J61" s="8"/>
      <c r="K61" s="8"/>
      <c r="L61" s="8"/>
      <c r="M61" s="8"/>
      <c r="N61" s="8"/>
      <c r="O61" s="8"/>
      <c r="P61" s="8"/>
      <c r="Q61" s="8"/>
      <c r="R61" s="8"/>
      <c r="S61" s="8"/>
      <c r="T61" s="8"/>
      <c r="U61" s="8"/>
      <c r="V61" s="8"/>
      <c r="W61" s="8"/>
      <c r="X61" s="8"/>
      <c r="Y61" s="8"/>
      <c r="Z61" s="8"/>
    </row>
    <row r="62" spans="1:26" ht="25" x14ac:dyDescent="0.25">
      <c r="A62" s="6" t="s">
        <v>269</v>
      </c>
      <c r="B62" s="6" t="s">
        <v>270</v>
      </c>
      <c r="C62" s="6"/>
      <c r="D62" s="6"/>
      <c r="E62" s="6"/>
      <c r="F62" s="6"/>
      <c r="G62" s="6"/>
      <c r="H62" s="6"/>
      <c r="I62" s="6"/>
      <c r="J62" s="6"/>
      <c r="K62" s="6"/>
      <c r="L62" s="6"/>
      <c r="M62" s="6"/>
      <c r="N62" s="6"/>
      <c r="O62" s="6"/>
      <c r="P62" s="6"/>
      <c r="Q62" s="6"/>
      <c r="R62" s="6"/>
      <c r="S62" s="6"/>
      <c r="T62" s="6"/>
      <c r="U62" s="6"/>
      <c r="V62" s="6"/>
      <c r="W62" s="6"/>
      <c r="X62" s="6"/>
      <c r="Y62" s="6"/>
      <c r="Z62" s="6"/>
    </row>
    <row r="63" spans="1:26" ht="37.5" x14ac:dyDescent="0.25">
      <c r="A63" s="8" t="s">
        <v>271</v>
      </c>
      <c r="B63" s="8" t="s">
        <v>272</v>
      </c>
      <c r="C63" s="8"/>
      <c r="D63" s="8"/>
      <c r="E63" s="8"/>
      <c r="F63" s="8"/>
      <c r="G63" s="8"/>
      <c r="H63" s="8"/>
      <c r="I63" s="8"/>
      <c r="J63" s="8"/>
      <c r="K63" s="8"/>
      <c r="L63" s="8"/>
      <c r="M63" s="8"/>
      <c r="N63" s="8"/>
      <c r="O63" s="8"/>
      <c r="P63" s="8"/>
      <c r="Q63" s="8"/>
      <c r="R63" s="8"/>
      <c r="S63" s="8"/>
      <c r="T63" s="8"/>
      <c r="U63" s="8"/>
      <c r="V63" s="8"/>
      <c r="W63" s="8"/>
      <c r="X63" s="8"/>
      <c r="Y63" s="8"/>
      <c r="Z63" s="8"/>
    </row>
    <row r="64" spans="1:26" ht="25" x14ac:dyDescent="0.25">
      <c r="A64" s="6" t="s">
        <v>274</v>
      </c>
      <c r="B64" s="6" t="s">
        <v>275</v>
      </c>
      <c r="C64" s="6"/>
      <c r="D64" s="6"/>
      <c r="E64" s="6"/>
      <c r="F64" s="6"/>
      <c r="G64" s="6"/>
      <c r="H64" s="6"/>
      <c r="I64" s="6"/>
      <c r="J64" s="6"/>
      <c r="K64" s="6"/>
      <c r="L64" s="6"/>
      <c r="M64" s="6"/>
      <c r="N64" s="6"/>
      <c r="O64" s="6"/>
      <c r="P64" s="6"/>
      <c r="Q64" s="6"/>
      <c r="R64" s="6"/>
      <c r="S64" s="6"/>
      <c r="T64" s="6"/>
      <c r="U64" s="6"/>
      <c r="V64" s="6"/>
      <c r="W64" s="6"/>
      <c r="X64" s="6"/>
      <c r="Y64" s="6"/>
      <c r="Z64" s="6"/>
    </row>
    <row r="65" spans="1:26" ht="37.5" x14ac:dyDescent="0.25">
      <c r="A65" s="8" t="s">
        <v>277</v>
      </c>
      <c r="B65" s="8" t="s">
        <v>278</v>
      </c>
      <c r="C65" s="8"/>
      <c r="D65" s="8"/>
      <c r="E65" s="8"/>
      <c r="F65" s="8"/>
      <c r="G65" s="8"/>
      <c r="H65" s="8"/>
      <c r="I65" s="8"/>
      <c r="J65" s="8"/>
      <c r="K65" s="8"/>
      <c r="L65" s="8"/>
      <c r="M65" s="8"/>
      <c r="N65" s="8"/>
      <c r="O65" s="8"/>
      <c r="P65" s="8"/>
      <c r="Q65" s="8"/>
      <c r="R65" s="8"/>
      <c r="S65" s="8"/>
      <c r="T65" s="8"/>
      <c r="U65" s="8"/>
      <c r="V65" s="8"/>
      <c r="W65" s="8"/>
      <c r="X65" s="8"/>
      <c r="Y65" s="8"/>
      <c r="Z65" s="8"/>
    </row>
    <row r="66" spans="1:26" ht="12.5" x14ac:dyDescent="0.25">
      <c r="A66" s="6" t="s">
        <v>281</v>
      </c>
      <c r="B66" s="6" t="s">
        <v>282</v>
      </c>
      <c r="C66" s="6"/>
      <c r="D66" s="6"/>
      <c r="E66" s="6"/>
      <c r="F66" s="6"/>
      <c r="G66" s="6"/>
      <c r="H66" s="6"/>
      <c r="I66" s="6"/>
      <c r="J66" s="6"/>
      <c r="K66" s="6"/>
      <c r="L66" s="6"/>
      <c r="M66" s="6"/>
      <c r="N66" s="6"/>
      <c r="O66" s="6"/>
      <c r="P66" s="6"/>
      <c r="Q66" s="6"/>
      <c r="R66" s="6"/>
      <c r="S66" s="6"/>
      <c r="T66" s="6"/>
      <c r="U66" s="6"/>
      <c r="V66" s="6"/>
      <c r="W66" s="6"/>
      <c r="X66" s="6"/>
      <c r="Y66" s="6"/>
      <c r="Z66" s="6"/>
    </row>
    <row r="67" spans="1:26" ht="25" x14ac:dyDescent="0.25">
      <c r="A67" s="8" t="s">
        <v>284</v>
      </c>
      <c r="B67" s="8" t="s">
        <v>285</v>
      </c>
      <c r="C67" s="8"/>
      <c r="D67" s="8"/>
      <c r="E67" s="8"/>
      <c r="F67" s="8"/>
      <c r="G67" s="8"/>
      <c r="H67" s="8"/>
      <c r="I67" s="8"/>
      <c r="J67" s="8"/>
      <c r="K67" s="8"/>
      <c r="L67" s="8"/>
      <c r="M67" s="8"/>
      <c r="N67" s="8"/>
      <c r="O67" s="8"/>
      <c r="P67" s="8"/>
      <c r="Q67" s="8"/>
      <c r="R67" s="8"/>
      <c r="S67" s="8"/>
      <c r="T67" s="8"/>
      <c r="U67" s="8"/>
      <c r="V67" s="8"/>
      <c r="W67" s="8"/>
      <c r="X67" s="8"/>
      <c r="Y67" s="8"/>
      <c r="Z67" s="8"/>
    </row>
    <row r="68" spans="1:26" ht="12.5" x14ac:dyDescent="0.25">
      <c r="A68" s="6" t="s">
        <v>287</v>
      </c>
      <c r="B68" s="6" t="s">
        <v>288</v>
      </c>
      <c r="C68" s="6"/>
      <c r="D68" s="6"/>
      <c r="E68" s="6"/>
      <c r="F68" s="6"/>
      <c r="G68" s="6"/>
      <c r="H68" s="6"/>
      <c r="I68" s="6"/>
      <c r="J68" s="6"/>
      <c r="K68" s="6"/>
      <c r="L68" s="6"/>
      <c r="M68" s="6"/>
      <c r="N68" s="6"/>
      <c r="O68" s="6"/>
      <c r="P68" s="6"/>
      <c r="Q68" s="6"/>
      <c r="R68" s="6"/>
      <c r="S68" s="6"/>
      <c r="T68" s="6"/>
      <c r="U68" s="6"/>
      <c r="V68" s="6"/>
      <c r="W68" s="6"/>
      <c r="X68" s="6"/>
      <c r="Y68" s="6"/>
      <c r="Z68" s="6"/>
    </row>
    <row r="69" spans="1:26" ht="12.5" x14ac:dyDescent="0.25">
      <c r="A69" s="8" t="s">
        <v>290</v>
      </c>
      <c r="B69" s="8" t="s">
        <v>291</v>
      </c>
      <c r="C69" s="8"/>
      <c r="D69" s="8"/>
      <c r="E69" s="8"/>
      <c r="F69" s="8"/>
      <c r="G69" s="8"/>
      <c r="H69" s="8"/>
      <c r="I69" s="8"/>
      <c r="J69" s="8"/>
      <c r="K69" s="8"/>
      <c r="L69" s="8"/>
      <c r="M69" s="8"/>
      <c r="N69" s="8"/>
      <c r="O69" s="8"/>
      <c r="P69" s="8"/>
      <c r="Q69" s="8"/>
      <c r="R69" s="8"/>
      <c r="S69" s="8"/>
      <c r="T69" s="8"/>
      <c r="U69" s="8"/>
      <c r="V69" s="8"/>
      <c r="W69" s="8"/>
      <c r="X69" s="8"/>
      <c r="Y69" s="8"/>
      <c r="Z69" s="8"/>
    </row>
    <row r="70" spans="1:26" ht="37.5" x14ac:dyDescent="0.25">
      <c r="A70" s="15" t="s">
        <v>293</v>
      </c>
      <c r="B70" s="6" t="s">
        <v>294</v>
      </c>
      <c r="C70" s="6"/>
      <c r="D70" s="6"/>
      <c r="E70" s="6"/>
      <c r="F70" s="6"/>
      <c r="G70" s="6"/>
      <c r="H70" s="6"/>
      <c r="I70" s="6"/>
      <c r="J70" s="6"/>
      <c r="K70" s="6"/>
      <c r="L70" s="6"/>
      <c r="M70" s="6"/>
      <c r="N70" s="6"/>
      <c r="O70" s="6"/>
      <c r="P70" s="6"/>
      <c r="Q70" s="6"/>
      <c r="R70" s="6"/>
      <c r="S70" s="6"/>
      <c r="T70" s="6"/>
      <c r="U70" s="6"/>
      <c r="V70" s="6"/>
      <c r="W70" s="6"/>
      <c r="X70" s="6"/>
      <c r="Y70" s="6"/>
      <c r="Z70" s="6"/>
    </row>
    <row r="71" spans="1:26" ht="12.5" x14ac:dyDescent="0.25">
      <c r="A71" s="14"/>
      <c r="B71" s="8" t="s">
        <v>296</v>
      </c>
      <c r="C71" s="8"/>
      <c r="D71" s="8"/>
      <c r="E71" s="8"/>
      <c r="F71" s="8"/>
      <c r="G71" s="8"/>
      <c r="H71" s="8"/>
      <c r="I71" s="8"/>
      <c r="J71" s="8"/>
      <c r="K71" s="8"/>
      <c r="L71" s="8"/>
      <c r="M71" s="8"/>
      <c r="N71" s="8"/>
      <c r="O71" s="8"/>
      <c r="P71" s="8"/>
      <c r="Q71" s="8"/>
      <c r="R71" s="8"/>
      <c r="S71" s="8"/>
      <c r="T71" s="8"/>
      <c r="U71" s="8"/>
      <c r="V71" s="8"/>
      <c r="W71" s="8"/>
      <c r="X71" s="8"/>
      <c r="Y71" s="8"/>
      <c r="Z71" s="8"/>
    </row>
    <row r="72" spans="1:26" ht="12.5" x14ac:dyDescent="0.25">
      <c r="A72" s="6" t="s">
        <v>298</v>
      </c>
      <c r="B72" s="6" t="s">
        <v>299</v>
      </c>
      <c r="C72" s="6"/>
      <c r="D72" s="6"/>
      <c r="E72" s="6"/>
      <c r="F72" s="6"/>
      <c r="G72" s="6"/>
      <c r="H72" s="6"/>
      <c r="I72" s="6"/>
      <c r="J72" s="6"/>
      <c r="K72" s="6"/>
      <c r="L72" s="6"/>
      <c r="M72" s="6"/>
      <c r="N72" s="6"/>
      <c r="O72" s="6"/>
      <c r="P72" s="6"/>
      <c r="Q72" s="6"/>
      <c r="R72" s="6"/>
      <c r="S72" s="6"/>
      <c r="T72" s="6"/>
      <c r="U72" s="6"/>
      <c r="V72" s="6"/>
      <c r="W72" s="6"/>
      <c r="X72" s="6"/>
      <c r="Y72" s="6"/>
      <c r="Z72" s="6"/>
    </row>
    <row r="73" spans="1:26" ht="37.5" x14ac:dyDescent="0.25">
      <c r="A73" s="8" t="s">
        <v>301</v>
      </c>
      <c r="B73" s="8" t="s">
        <v>303</v>
      </c>
      <c r="C73" s="8"/>
      <c r="D73" s="8"/>
      <c r="E73" s="8"/>
      <c r="F73" s="8"/>
      <c r="G73" s="8"/>
      <c r="H73" s="8"/>
      <c r="I73" s="8"/>
      <c r="J73" s="8"/>
      <c r="K73" s="8"/>
      <c r="L73" s="8"/>
      <c r="M73" s="8"/>
      <c r="N73" s="8"/>
      <c r="O73" s="8"/>
      <c r="P73" s="8"/>
      <c r="Q73" s="8"/>
      <c r="R73" s="8"/>
      <c r="S73" s="8"/>
      <c r="T73" s="8"/>
      <c r="U73" s="8"/>
      <c r="V73" s="8"/>
      <c r="W73" s="8"/>
      <c r="X73" s="8"/>
      <c r="Y73" s="8"/>
      <c r="Z73" s="8"/>
    </row>
    <row r="74" spans="1:26" ht="25" x14ac:dyDescent="0.25">
      <c r="A74" s="6" t="s">
        <v>305</v>
      </c>
      <c r="B74" s="6" t="s">
        <v>307</v>
      </c>
      <c r="C74" s="6"/>
      <c r="D74" s="6"/>
      <c r="E74" s="6"/>
      <c r="F74" s="6"/>
      <c r="G74" s="6"/>
      <c r="H74" s="6"/>
      <c r="I74" s="6"/>
      <c r="J74" s="6"/>
      <c r="K74" s="6"/>
      <c r="L74" s="6"/>
      <c r="M74" s="6"/>
      <c r="N74" s="6"/>
      <c r="O74" s="6"/>
      <c r="P74" s="6"/>
      <c r="Q74" s="6"/>
      <c r="R74" s="6"/>
      <c r="S74" s="6"/>
      <c r="T74" s="6"/>
      <c r="U74" s="6"/>
      <c r="V74" s="6"/>
      <c r="W74" s="6"/>
      <c r="X74" s="6"/>
      <c r="Y74" s="6"/>
      <c r="Z74" s="6"/>
    </row>
    <row r="75" spans="1:26" ht="12.5" x14ac:dyDescent="0.25">
      <c r="A75" s="8" t="s">
        <v>309</v>
      </c>
      <c r="B75" s="8" t="s">
        <v>311</v>
      </c>
      <c r="C75" s="8"/>
      <c r="D75" s="8"/>
      <c r="E75" s="8"/>
      <c r="F75" s="8"/>
      <c r="G75" s="8"/>
      <c r="H75" s="8"/>
      <c r="I75" s="8"/>
      <c r="J75" s="8"/>
      <c r="K75" s="8"/>
      <c r="L75" s="8"/>
      <c r="M75" s="8"/>
      <c r="N75" s="8"/>
      <c r="O75" s="8"/>
      <c r="P75" s="8"/>
      <c r="Q75" s="8"/>
      <c r="R75" s="8"/>
      <c r="S75" s="8"/>
      <c r="T75" s="8"/>
      <c r="U75" s="8"/>
      <c r="V75" s="8"/>
      <c r="W75" s="8"/>
      <c r="X75" s="8"/>
      <c r="Y75" s="8"/>
      <c r="Z75" s="8"/>
    </row>
    <row r="76" spans="1:26" ht="12.5" x14ac:dyDescent="0.25">
      <c r="A76" s="6" t="s">
        <v>314</v>
      </c>
      <c r="B76" s="6" t="s">
        <v>315</v>
      </c>
      <c r="C76" s="6"/>
      <c r="D76" s="6"/>
      <c r="E76" s="6"/>
      <c r="F76" s="6"/>
      <c r="G76" s="6"/>
      <c r="H76" s="6"/>
      <c r="I76" s="6"/>
      <c r="J76" s="6"/>
      <c r="K76" s="6"/>
      <c r="L76" s="6"/>
      <c r="M76" s="6"/>
      <c r="N76" s="6"/>
      <c r="O76" s="6"/>
      <c r="P76" s="6"/>
      <c r="Q76" s="6"/>
      <c r="R76" s="6"/>
      <c r="S76" s="6"/>
      <c r="T76" s="6"/>
      <c r="U76" s="6"/>
      <c r="V76" s="6"/>
      <c r="W76" s="6"/>
      <c r="X76" s="6"/>
      <c r="Y76" s="6"/>
      <c r="Z76" s="6"/>
    </row>
    <row r="77" spans="1:26" ht="12.5" x14ac:dyDescent="0.25">
      <c r="A77" s="8" t="s">
        <v>318</v>
      </c>
      <c r="B77" s="8" t="s">
        <v>319</v>
      </c>
      <c r="C77" s="8"/>
      <c r="D77" s="8"/>
      <c r="E77" s="8"/>
      <c r="F77" s="8"/>
      <c r="G77" s="8"/>
      <c r="H77" s="8"/>
      <c r="I77" s="8"/>
      <c r="J77" s="8"/>
      <c r="K77" s="8"/>
      <c r="L77" s="8"/>
      <c r="M77" s="8"/>
      <c r="N77" s="8"/>
      <c r="O77" s="8"/>
      <c r="P77" s="8"/>
      <c r="Q77" s="8"/>
      <c r="R77" s="8"/>
      <c r="S77" s="8"/>
      <c r="T77" s="8"/>
      <c r="U77" s="8"/>
      <c r="V77" s="8"/>
      <c r="W77" s="8"/>
      <c r="X77" s="8"/>
      <c r="Y77" s="8"/>
      <c r="Z77" s="8"/>
    </row>
    <row r="78" spans="1:26" ht="25" x14ac:dyDescent="0.25">
      <c r="A78" s="6" t="s">
        <v>324</v>
      </c>
      <c r="B78" s="6" t="s">
        <v>325</v>
      </c>
      <c r="C78" s="6"/>
      <c r="D78" s="6"/>
      <c r="E78" s="6"/>
      <c r="F78" s="6"/>
      <c r="G78" s="6"/>
      <c r="H78" s="6"/>
      <c r="I78" s="6"/>
      <c r="J78" s="6"/>
      <c r="K78" s="6"/>
      <c r="L78" s="6"/>
      <c r="M78" s="6"/>
      <c r="N78" s="6"/>
      <c r="O78" s="6"/>
      <c r="P78" s="6"/>
      <c r="Q78" s="6"/>
      <c r="R78" s="6"/>
      <c r="S78" s="6"/>
      <c r="T78" s="6"/>
      <c r="U78" s="6"/>
      <c r="V78" s="6"/>
      <c r="W78" s="6"/>
      <c r="X78" s="6"/>
      <c r="Y78" s="6"/>
      <c r="Z78" s="6"/>
    </row>
    <row r="79" spans="1:26" ht="25" x14ac:dyDescent="0.25">
      <c r="A79" s="8" t="s">
        <v>328</v>
      </c>
      <c r="B79" s="8" t="s">
        <v>329</v>
      </c>
      <c r="C79" s="8"/>
      <c r="D79" s="8"/>
      <c r="E79" s="8"/>
      <c r="F79" s="8"/>
      <c r="G79" s="8"/>
      <c r="H79" s="8"/>
      <c r="I79" s="8"/>
      <c r="J79" s="8"/>
      <c r="K79" s="8"/>
      <c r="L79" s="8"/>
      <c r="M79" s="8"/>
      <c r="N79" s="8"/>
      <c r="O79" s="8"/>
      <c r="P79" s="8"/>
      <c r="Q79" s="8"/>
      <c r="R79" s="8"/>
      <c r="S79" s="8"/>
      <c r="T79" s="8"/>
      <c r="U79" s="8"/>
      <c r="V79" s="8"/>
      <c r="W79" s="8"/>
      <c r="X79" s="8"/>
      <c r="Y79" s="8"/>
      <c r="Z79" s="8"/>
    </row>
    <row r="80" spans="1:26" ht="25" x14ac:dyDescent="0.25">
      <c r="A80" s="6" t="s">
        <v>332</v>
      </c>
      <c r="B80" s="6" t="s">
        <v>334</v>
      </c>
      <c r="C80" s="6"/>
      <c r="D80" s="6"/>
      <c r="E80" s="6"/>
      <c r="F80" s="6"/>
      <c r="G80" s="6"/>
      <c r="H80" s="6"/>
      <c r="I80" s="6"/>
      <c r="J80" s="6"/>
      <c r="K80" s="6"/>
      <c r="L80" s="6"/>
      <c r="M80" s="6"/>
      <c r="N80" s="6"/>
      <c r="O80" s="6"/>
      <c r="P80" s="6"/>
      <c r="Q80" s="6"/>
      <c r="R80" s="6"/>
      <c r="S80" s="6"/>
      <c r="T80" s="6"/>
      <c r="U80" s="6"/>
      <c r="V80" s="6"/>
      <c r="W80" s="6"/>
      <c r="X80" s="6"/>
      <c r="Y80" s="6"/>
      <c r="Z80" s="6"/>
    </row>
    <row r="81" spans="1:26" ht="50" x14ac:dyDescent="0.25">
      <c r="A81" s="8" t="s">
        <v>338</v>
      </c>
      <c r="B81" s="8" t="s">
        <v>339</v>
      </c>
      <c r="C81" s="8"/>
      <c r="D81" s="8"/>
      <c r="E81" s="8"/>
      <c r="F81" s="8"/>
      <c r="G81" s="8"/>
      <c r="H81" s="8"/>
      <c r="I81" s="8"/>
      <c r="J81" s="8"/>
      <c r="K81" s="8"/>
      <c r="L81" s="8"/>
      <c r="M81" s="8"/>
      <c r="N81" s="8"/>
      <c r="O81" s="8"/>
      <c r="P81" s="8"/>
      <c r="Q81" s="8"/>
      <c r="R81" s="8"/>
      <c r="S81" s="8"/>
      <c r="T81" s="8"/>
      <c r="U81" s="8"/>
      <c r="V81" s="8"/>
      <c r="W81" s="8"/>
      <c r="X81" s="8"/>
      <c r="Y81" s="8"/>
      <c r="Z81" s="8"/>
    </row>
    <row r="82" spans="1:26" ht="37.5" x14ac:dyDescent="0.25">
      <c r="A82" s="6" t="s">
        <v>344</v>
      </c>
      <c r="B82" s="6" t="s">
        <v>345</v>
      </c>
      <c r="C82" s="6"/>
      <c r="D82" s="6"/>
      <c r="E82" s="6"/>
      <c r="F82" s="6"/>
      <c r="G82" s="6"/>
      <c r="H82" s="6"/>
      <c r="I82" s="6"/>
      <c r="J82" s="6"/>
      <c r="K82" s="6"/>
      <c r="L82" s="6"/>
      <c r="M82" s="6"/>
      <c r="N82" s="6"/>
      <c r="O82" s="6"/>
      <c r="P82" s="6"/>
      <c r="Q82" s="6"/>
      <c r="R82" s="6"/>
      <c r="S82" s="6"/>
      <c r="T82" s="6"/>
      <c r="U82" s="6"/>
      <c r="V82" s="6"/>
      <c r="W82" s="6"/>
      <c r="X82" s="6"/>
      <c r="Y82" s="6"/>
      <c r="Z82" s="6"/>
    </row>
    <row r="83" spans="1:26" ht="12.5" x14ac:dyDescent="0.25">
      <c r="A83" s="8" t="s">
        <v>348</v>
      </c>
      <c r="B83" s="8" t="s">
        <v>349</v>
      </c>
      <c r="C83" s="8"/>
      <c r="D83" s="8"/>
      <c r="E83" s="8"/>
      <c r="F83" s="8"/>
      <c r="G83" s="8"/>
      <c r="H83" s="8"/>
      <c r="I83" s="8"/>
      <c r="J83" s="8"/>
      <c r="K83" s="8"/>
      <c r="L83" s="8"/>
      <c r="M83" s="8"/>
      <c r="N83" s="8"/>
      <c r="O83" s="8"/>
      <c r="P83" s="8"/>
      <c r="Q83" s="8"/>
      <c r="R83" s="8"/>
      <c r="S83" s="8"/>
      <c r="T83" s="8"/>
      <c r="U83" s="8"/>
      <c r="V83" s="8"/>
      <c r="W83" s="8"/>
      <c r="X83" s="8"/>
      <c r="Y83" s="8"/>
      <c r="Z83" s="8"/>
    </row>
    <row r="84" spans="1:26" ht="37.5" x14ac:dyDescent="0.25">
      <c r="A84" s="6" t="s">
        <v>352</v>
      </c>
      <c r="B84" s="6" t="s">
        <v>353</v>
      </c>
      <c r="C84" s="6"/>
      <c r="D84" s="6"/>
      <c r="E84" s="6"/>
      <c r="F84" s="6"/>
      <c r="G84" s="6"/>
      <c r="H84" s="6"/>
      <c r="I84" s="6"/>
      <c r="J84" s="6"/>
      <c r="K84" s="6"/>
      <c r="L84" s="6"/>
      <c r="M84" s="6"/>
      <c r="N84" s="6"/>
      <c r="O84" s="6"/>
      <c r="P84" s="6"/>
      <c r="Q84" s="6"/>
      <c r="R84" s="6"/>
      <c r="S84" s="6"/>
      <c r="T84" s="6"/>
      <c r="U84" s="6"/>
      <c r="V84" s="6"/>
      <c r="W84" s="6"/>
      <c r="X84" s="6"/>
      <c r="Y84" s="6"/>
      <c r="Z84" s="6"/>
    </row>
    <row r="85" spans="1:26" ht="12.5" x14ac:dyDescent="0.25">
      <c r="A85" s="8" t="s">
        <v>356</v>
      </c>
      <c r="B85" s="8" t="s">
        <v>357</v>
      </c>
      <c r="C85" s="8"/>
      <c r="D85" s="8"/>
      <c r="E85" s="8"/>
      <c r="F85" s="8"/>
      <c r="G85" s="8"/>
      <c r="H85" s="8"/>
      <c r="I85" s="8"/>
      <c r="J85" s="8"/>
      <c r="K85" s="8"/>
      <c r="L85" s="8"/>
      <c r="M85" s="8"/>
      <c r="N85" s="8"/>
      <c r="O85" s="8"/>
      <c r="P85" s="8"/>
      <c r="Q85" s="8"/>
      <c r="R85" s="8"/>
      <c r="S85" s="8"/>
      <c r="T85" s="8"/>
      <c r="U85" s="8"/>
      <c r="V85" s="8"/>
      <c r="W85" s="8"/>
      <c r="X85" s="8"/>
      <c r="Y85" s="8"/>
      <c r="Z85" s="8"/>
    </row>
    <row r="86" spans="1:26" ht="25" x14ac:dyDescent="0.25">
      <c r="A86" s="6" t="s">
        <v>360</v>
      </c>
      <c r="B86" s="6" t="s">
        <v>361</v>
      </c>
      <c r="C86" s="6"/>
      <c r="D86" s="6"/>
      <c r="E86" s="6"/>
      <c r="F86" s="6"/>
      <c r="G86" s="6"/>
      <c r="H86" s="6"/>
      <c r="I86" s="6"/>
      <c r="J86" s="6"/>
      <c r="K86" s="6"/>
      <c r="L86" s="6"/>
      <c r="M86" s="6"/>
      <c r="N86" s="6"/>
      <c r="O86" s="6"/>
      <c r="P86" s="6"/>
      <c r="Q86" s="6"/>
      <c r="R86" s="6"/>
      <c r="S86" s="6"/>
      <c r="T86" s="6"/>
      <c r="U86" s="6"/>
      <c r="V86" s="6"/>
      <c r="W86" s="6"/>
      <c r="X86" s="6"/>
      <c r="Y86" s="6"/>
      <c r="Z86" s="6"/>
    </row>
    <row r="87" spans="1:26" ht="37.5" x14ac:dyDescent="0.25">
      <c r="A87" s="8" t="s">
        <v>364</v>
      </c>
      <c r="B87" s="8" t="s">
        <v>365</v>
      </c>
      <c r="C87" s="8"/>
      <c r="D87" s="8"/>
      <c r="E87" s="8"/>
      <c r="F87" s="8"/>
      <c r="G87" s="8"/>
      <c r="H87" s="8"/>
      <c r="I87" s="8"/>
      <c r="J87" s="8"/>
      <c r="K87" s="8"/>
      <c r="L87" s="8"/>
      <c r="M87" s="8"/>
      <c r="N87" s="8"/>
      <c r="O87" s="8"/>
      <c r="P87" s="8"/>
      <c r="Q87" s="8"/>
      <c r="R87" s="8"/>
      <c r="S87" s="8"/>
      <c r="T87" s="8"/>
      <c r="U87" s="8"/>
      <c r="V87" s="8"/>
      <c r="W87" s="8"/>
      <c r="X87" s="8"/>
      <c r="Y87" s="8"/>
      <c r="Z87" s="8"/>
    </row>
    <row r="88" spans="1:26" ht="25" x14ac:dyDescent="0.25">
      <c r="A88" s="6" t="s">
        <v>370</v>
      </c>
      <c r="B88" s="6" t="s">
        <v>371</v>
      </c>
      <c r="C88" s="6"/>
      <c r="D88" s="6"/>
      <c r="E88" s="6"/>
      <c r="F88" s="6"/>
      <c r="G88" s="6"/>
      <c r="H88" s="6"/>
      <c r="I88" s="6"/>
      <c r="J88" s="6"/>
      <c r="K88" s="6"/>
      <c r="L88" s="6"/>
      <c r="M88" s="6"/>
      <c r="N88" s="6"/>
      <c r="O88" s="6"/>
      <c r="P88" s="6"/>
      <c r="Q88" s="6"/>
      <c r="R88" s="6"/>
      <c r="S88" s="6"/>
      <c r="T88" s="6"/>
      <c r="U88" s="6"/>
      <c r="V88" s="6"/>
      <c r="W88" s="6"/>
      <c r="X88" s="6"/>
      <c r="Y88" s="6"/>
      <c r="Z88" s="6"/>
    </row>
    <row r="89" spans="1:26" ht="25" x14ac:dyDescent="0.25">
      <c r="A89" s="8" t="s">
        <v>374</v>
      </c>
      <c r="B89" s="8" t="s">
        <v>375</v>
      </c>
      <c r="C89" s="8"/>
      <c r="D89" s="8"/>
      <c r="E89" s="8"/>
      <c r="F89" s="8"/>
      <c r="G89" s="8"/>
      <c r="H89" s="8"/>
      <c r="I89" s="8"/>
      <c r="J89" s="8"/>
      <c r="K89" s="8"/>
      <c r="L89" s="8"/>
      <c r="M89" s="8"/>
      <c r="N89" s="8"/>
      <c r="O89" s="8"/>
      <c r="P89" s="8"/>
      <c r="Q89" s="8"/>
      <c r="R89" s="8"/>
      <c r="S89" s="8"/>
      <c r="T89" s="8"/>
      <c r="U89" s="8"/>
      <c r="V89" s="8"/>
      <c r="W89" s="8"/>
      <c r="X89" s="8"/>
      <c r="Y89" s="8"/>
      <c r="Z89" s="8"/>
    </row>
    <row r="90" spans="1:26" ht="25" x14ac:dyDescent="0.25">
      <c r="A90" s="6" t="s">
        <v>378</v>
      </c>
      <c r="B90" s="6" t="s">
        <v>380</v>
      </c>
      <c r="C90" s="6"/>
      <c r="D90" s="6"/>
      <c r="E90" s="6"/>
      <c r="F90" s="6"/>
      <c r="G90" s="6"/>
      <c r="H90" s="6"/>
      <c r="I90" s="6"/>
      <c r="J90" s="6"/>
      <c r="K90" s="6"/>
      <c r="L90" s="6"/>
      <c r="M90" s="6"/>
      <c r="N90" s="6"/>
      <c r="O90" s="6"/>
      <c r="P90" s="6"/>
      <c r="Q90" s="6"/>
      <c r="R90" s="6"/>
      <c r="S90" s="6"/>
      <c r="T90" s="6"/>
      <c r="U90" s="6"/>
      <c r="V90" s="6"/>
      <c r="W90" s="6"/>
      <c r="X90" s="6"/>
      <c r="Y90" s="6"/>
      <c r="Z90" s="6"/>
    </row>
    <row r="91" spans="1:26" ht="37.5" x14ac:dyDescent="0.25">
      <c r="A91" s="8" t="s">
        <v>384</v>
      </c>
      <c r="B91" s="8" t="s">
        <v>385</v>
      </c>
      <c r="C91" s="8"/>
      <c r="D91" s="8"/>
      <c r="E91" s="8"/>
      <c r="F91" s="8"/>
      <c r="G91" s="8"/>
      <c r="H91" s="8"/>
      <c r="I91" s="8"/>
      <c r="J91" s="8"/>
      <c r="K91" s="8"/>
      <c r="L91" s="8"/>
      <c r="M91" s="8"/>
      <c r="N91" s="8"/>
      <c r="O91" s="8"/>
      <c r="P91" s="8"/>
      <c r="Q91" s="8"/>
      <c r="R91" s="8"/>
      <c r="S91" s="8"/>
      <c r="T91" s="8"/>
      <c r="U91" s="8"/>
      <c r="V91" s="8"/>
      <c r="W91" s="8"/>
      <c r="X91" s="8"/>
      <c r="Y91" s="8"/>
      <c r="Z91" s="8"/>
    </row>
    <row r="92" spans="1:26" ht="12.5" x14ac:dyDescent="0.25">
      <c r="A92" s="6" t="s">
        <v>388</v>
      </c>
      <c r="B92" s="6" t="s">
        <v>389</v>
      </c>
      <c r="C92" s="6"/>
      <c r="D92" s="6"/>
      <c r="E92" s="6"/>
      <c r="F92" s="6"/>
      <c r="G92" s="6"/>
      <c r="H92" s="6"/>
      <c r="I92" s="6"/>
      <c r="J92" s="6"/>
      <c r="K92" s="6"/>
      <c r="L92" s="6"/>
      <c r="M92" s="6"/>
      <c r="N92" s="6"/>
      <c r="O92" s="6"/>
      <c r="P92" s="6"/>
      <c r="Q92" s="6"/>
      <c r="R92" s="6"/>
      <c r="S92" s="6"/>
      <c r="T92" s="6"/>
      <c r="U92" s="6"/>
      <c r="V92" s="6"/>
      <c r="W92" s="6"/>
      <c r="X92" s="6"/>
      <c r="Y92" s="6"/>
      <c r="Z92" s="6"/>
    </row>
    <row r="93" spans="1:26" ht="12.5" x14ac:dyDescent="0.25">
      <c r="A93" s="8" t="s">
        <v>392</v>
      </c>
      <c r="B93" s="8" t="s">
        <v>393</v>
      </c>
      <c r="C93" s="8"/>
      <c r="D93" s="8"/>
      <c r="E93" s="8"/>
      <c r="F93" s="8"/>
      <c r="G93" s="8"/>
      <c r="H93" s="8"/>
      <c r="I93" s="8"/>
      <c r="J93" s="8"/>
      <c r="K93" s="8"/>
      <c r="L93" s="8"/>
      <c r="M93" s="8"/>
      <c r="N93" s="8"/>
      <c r="O93" s="8"/>
      <c r="P93" s="8"/>
      <c r="Q93" s="8"/>
      <c r="R93" s="8"/>
      <c r="S93" s="8"/>
      <c r="T93" s="8"/>
      <c r="U93" s="8"/>
      <c r="V93" s="8"/>
      <c r="W93" s="8"/>
      <c r="X93" s="8"/>
      <c r="Y93" s="8"/>
      <c r="Z93" s="8"/>
    </row>
    <row r="94" spans="1:26" ht="25" x14ac:dyDescent="0.25">
      <c r="A94" s="6" t="s">
        <v>398</v>
      </c>
      <c r="B94" s="6" t="s">
        <v>399</v>
      </c>
      <c r="C94" s="6"/>
      <c r="D94" s="6"/>
      <c r="E94" s="6"/>
      <c r="F94" s="6"/>
      <c r="G94" s="6"/>
      <c r="H94" s="6"/>
      <c r="I94" s="6"/>
      <c r="J94" s="6"/>
      <c r="K94" s="6"/>
      <c r="L94" s="6"/>
      <c r="M94" s="6"/>
      <c r="N94" s="6"/>
      <c r="O94" s="6"/>
      <c r="P94" s="6"/>
      <c r="Q94" s="6"/>
      <c r="R94" s="6"/>
      <c r="S94" s="6"/>
      <c r="T94" s="6"/>
      <c r="U94" s="6"/>
      <c r="V94" s="6"/>
      <c r="W94" s="6"/>
      <c r="X94" s="6"/>
      <c r="Y94" s="6"/>
      <c r="Z94" s="6"/>
    </row>
    <row r="95" spans="1:26" ht="25" x14ac:dyDescent="0.25">
      <c r="A95" s="8" t="s">
        <v>404</v>
      </c>
      <c r="B95" s="8" t="s">
        <v>405</v>
      </c>
      <c r="C95" s="8"/>
      <c r="D95" s="8"/>
      <c r="E95" s="8"/>
      <c r="F95" s="8"/>
      <c r="G95" s="8"/>
      <c r="H95" s="8"/>
      <c r="I95" s="8"/>
      <c r="J95" s="8"/>
      <c r="K95" s="8"/>
      <c r="L95" s="8"/>
      <c r="M95" s="8"/>
      <c r="N95" s="8"/>
      <c r="O95" s="8"/>
      <c r="P95" s="8"/>
      <c r="Q95" s="8"/>
      <c r="R95" s="8"/>
      <c r="S95" s="8"/>
      <c r="T95" s="8"/>
      <c r="U95" s="8"/>
      <c r="V95" s="8"/>
      <c r="W95" s="8"/>
      <c r="X95" s="8"/>
      <c r="Y95" s="8"/>
      <c r="Z95" s="8"/>
    </row>
    <row r="96" spans="1:26" ht="12.5" x14ac:dyDescent="0.25">
      <c r="A96" s="6" t="s">
        <v>410</v>
      </c>
      <c r="B96" s="6" t="s">
        <v>411</v>
      </c>
      <c r="C96" s="6"/>
      <c r="D96" s="6"/>
      <c r="E96" s="6"/>
      <c r="F96" s="6"/>
      <c r="G96" s="6"/>
      <c r="H96" s="6"/>
      <c r="I96" s="6"/>
      <c r="J96" s="6"/>
      <c r="K96" s="6"/>
      <c r="L96" s="6"/>
      <c r="M96" s="6"/>
      <c r="N96" s="6"/>
      <c r="O96" s="6"/>
      <c r="P96" s="6"/>
      <c r="Q96" s="6"/>
      <c r="R96" s="6"/>
      <c r="S96" s="6"/>
      <c r="T96" s="6"/>
      <c r="U96" s="6"/>
      <c r="V96" s="6"/>
      <c r="W96" s="6"/>
      <c r="X96" s="6"/>
      <c r="Y96" s="6"/>
      <c r="Z96" s="6"/>
    </row>
    <row r="97" spans="1:26" ht="37.5" x14ac:dyDescent="0.25">
      <c r="A97" s="8" t="s">
        <v>412</v>
      </c>
      <c r="B97" s="8" t="s">
        <v>415</v>
      </c>
      <c r="C97" s="8"/>
      <c r="D97" s="8"/>
      <c r="E97" s="8"/>
      <c r="F97" s="8"/>
      <c r="G97" s="8"/>
      <c r="H97" s="8"/>
      <c r="I97" s="8"/>
      <c r="J97" s="8"/>
      <c r="K97" s="8"/>
      <c r="L97" s="8"/>
      <c r="M97" s="8"/>
      <c r="N97" s="8"/>
      <c r="O97" s="8"/>
      <c r="P97" s="8"/>
      <c r="Q97" s="8"/>
      <c r="R97" s="8"/>
      <c r="S97" s="8"/>
      <c r="T97" s="8"/>
      <c r="U97" s="8"/>
      <c r="V97" s="8"/>
      <c r="W97" s="8"/>
      <c r="X97" s="8"/>
      <c r="Y97" s="8"/>
      <c r="Z97" s="8"/>
    </row>
    <row r="98" spans="1:26" ht="50" x14ac:dyDescent="0.25">
      <c r="A98" s="6" t="s">
        <v>418</v>
      </c>
      <c r="B98" s="6" t="s">
        <v>419</v>
      </c>
      <c r="C98" s="6"/>
      <c r="D98" s="6"/>
      <c r="E98" s="6"/>
      <c r="F98" s="6"/>
      <c r="G98" s="6"/>
      <c r="H98" s="6"/>
      <c r="I98" s="6"/>
      <c r="J98" s="6"/>
      <c r="K98" s="6"/>
      <c r="L98" s="6"/>
      <c r="M98" s="6"/>
      <c r="N98" s="6"/>
      <c r="O98" s="6"/>
      <c r="P98" s="6"/>
      <c r="Q98" s="6"/>
      <c r="R98" s="6"/>
      <c r="S98" s="6"/>
      <c r="T98" s="6"/>
      <c r="U98" s="6"/>
      <c r="V98" s="6"/>
      <c r="W98" s="6"/>
      <c r="X98" s="6"/>
      <c r="Y98" s="6"/>
      <c r="Z98" s="6"/>
    </row>
    <row r="99" spans="1:26" ht="25" x14ac:dyDescent="0.25">
      <c r="A99" s="8" t="s">
        <v>422</v>
      </c>
      <c r="B99" s="8" t="s">
        <v>423</v>
      </c>
      <c r="C99" s="8"/>
      <c r="D99" s="8"/>
      <c r="E99" s="8"/>
      <c r="F99" s="8"/>
      <c r="G99" s="8"/>
      <c r="H99" s="8"/>
      <c r="I99" s="8"/>
      <c r="J99" s="8"/>
      <c r="K99" s="8"/>
      <c r="L99" s="8"/>
      <c r="M99" s="8"/>
      <c r="N99" s="8"/>
      <c r="O99" s="8"/>
      <c r="P99" s="8"/>
      <c r="Q99" s="8"/>
      <c r="R99" s="8"/>
      <c r="S99" s="8"/>
      <c r="T99" s="8"/>
      <c r="U99" s="8"/>
      <c r="V99" s="8"/>
      <c r="W99" s="8"/>
      <c r="X99" s="8"/>
      <c r="Y99" s="8"/>
      <c r="Z99" s="8"/>
    </row>
    <row r="100" spans="1:26" ht="12.5" x14ac:dyDescent="0.25">
      <c r="A100" s="6" t="s">
        <v>426</v>
      </c>
      <c r="B100" s="6" t="s">
        <v>427</v>
      </c>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5" x14ac:dyDescent="0.25">
      <c r="A101" s="8" t="s">
        <v>432</v>
      </c>
      <c r="B101" s="8" t="s">
        <v>433</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5" x14ac:dyDescent="0.25">
      <c r="A102" s="6" t="s">
        <v>436</v>
      </c>
      <c r="B102" s="6" t="s">
        <v>437</v>
      </c>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5" x14ac:dyDescent="0.25">
      <c r="A103" s="8" t="s">
        <v>441</v>
      </c>
      <c r="B103" s="8" t="s">
        <v>443</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5" x14ac:dyDescent="0.25">
      <c r="A104" s="6" t="s">
        <v>446</v>
      </c>
      <c r="B104" s="6" t="s">
        <v>447</v>
      </c>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5" x14ac:dyDescent="0.25">
      <c r="A105" s="8" t="s">
        <v>449</v>
      </c>
      <c r="B105" s="8" t="s">
        <v>450</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5" x14ac:dyDescent="0.25">
      <c r="A106" s="6" t="s">
        <v>452</v>
      </c>
      <c r="B106" s="6" t="s">
        <v>453</v>
      </c>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5" x14ac:dyDescent="0.25">
      <c r="A107" s="8" t="s">
        <v>455</v>
      </c>
      <c r="B107" s="8" t="s">
        <v>456</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5" x14ac:dyDescent="0.25">
      <c r="A108" s="6" t="s">
        <v>459</v>
      </c>
      <c r="B108" s="6" t="s">
        <v>460</v>
      </c>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5" x14ac:dyDescent="0.25">
      <c r="A109" s="8" t="s">
        <v>463</v>
      </c>
      <c r="B109" s="8" t="s">
        <v>464</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5" x14ac:dyDescent="0.25">
      <c r="A110" s="6" t="s">
        <v>466</v>
      </c>
      <c r="B110" s="6" t="s">
        <v>468</v>
      </c>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25" x14ac:dyDescent="0.25">
      <c r="A111" s="8" t="s">
        <v>470</v>
      </c>
      <c r="B111" s="8" t="s">
        <v>471</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5" x14ac:dyDescent="0.25">
      <c r="A112" s="6" t="s">
        <v>473</v>
      </c>
      <c r="B112" s="6" t="s">
        <v>474</v>
      </c>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25" x14ac:dyDescent="0.25">
      <c r="A113" s="8" t="s">
        <v>477</v>
      </c>
      <c r="B113" s="8" t="s">
        <v>478</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25" x14ac:dyDescent="0.25">
      <c r="A114" s="6" t="s">
        <v>480</v>
      </c>
      <c r="B114" s="6" t="s">
        <v>481</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5" x14ac:dyDescent="0.25">
      <c r="A115" s="8" t="s">
        <v>482</v>
      </c>
      <c r="B115" s="8" t="s">
        <v>483</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5" x14ac:dyDescent="0.25">
      <c r="A116" s="6" t="s">
        <v>484</v>
      </c>
      <c r="B116" s="6" t="s">
        <v>485</v>
      </c>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5" x14ac:dyDescent="0.25">
      <c r="A117" s="8" t="s">
        <v>488</v>
      </c>
      <c r="B117" s="8" t="s">
        <v>489</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25" x14ac:dyDescent="0.25">
      <c r="A118" s="6" t="s">
        <v>492</v>
      </c>
      <c r="B118" s="6" t="s">
        <v>494</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5" x14ac:dyDescent="0.25">
      <c r="A119" s="8" t="s">
        <v>497</v>
      </c>
      <c r="B119" s="8" t="s">
        <v>498</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25" x14ac:dyDescent="0.25">
      <c r="A120" s="6" t="s">
        <v>501</v>
      </c>
      <c r="B120" s="6" t="s">
        <v>502</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5" x14ac:dyDescent="0.25">
      <c r="A121" s="8" t="s">
        <v>504</v>
      </c>
      <c r="B121" s="8" t="s">
        <v>505</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5" x14ac:dyDescent="0.25">
      <c r="A122" s="6" t="s">
        <v>507</v>
      </c>
      <c r="B122" s="6" t="s">
        <v>508</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25" x14ac:dyDescent="0.25">
      <c r="A123" s="8" t="s">
        <v>510</v>
      </c>
      <c r="B123" s="8" t="s">
        <v>511</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5" x14ac:dyDescent="0.25">
      <c r="A124" s="6" t="s">
        <v>513</v>
      </c>
      <c r="B124" s="6" t="s">
        <v>514</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5" x14ac:dyDescent="0.25">
      <c r="A125" s="8" t="s">
        <v>516</v>
      </c>
      <c r="B125" s="8" t="s">
        <v>517</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25" x14ac:dyDescent="0.25">
      <c r="A126" s="6" t="s">
        <v>518</v>
      </c>
      <c r="B126" s="6" t="s">
        <v>519</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25" x14ac:dyDescent="0.25">
      <c r="A127" s="8" t="s">
        <v>521</v>
      </c>
      <c r="B127" s="8" t="s">
        <v>522</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25" x14ac:dyDescent="0.25">
      <c r="A128" s="6" t="s">
        <v>524</v>
      </c>
      <c r="B128" s="6" t="s">
        <v>525</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5" x14ac:dyDescent="0.25">
      <c r="A129" s="8" t="s">
        <v>527</v>
      </c>
      <c r="B129" s="8" t="s">
        <v>528</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5" x14ac:dyDescent="0.25">
      <c r="A130" s="6" t="s">
        <v>530</v>
      </c>
      <c r="B130" s="6" t="s">
        <v>532</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5" x14ac:dyDescent="0.25">
      <c r="A131" s="8" t="s">
        <v>534</v>
      </c>
      <c r="B131" s="8" t="s">
        <v>535</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25" x14ac:dyDescent="0.25">
      <c r="A132" s="6" t="s">
        <v>537</v>
      </c>
      <c r="B132" s="6" t="s">
        <v>538</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25" x14ac:dyDescent="0.25">
      <c r="A133" s="8" t="s">
        <v>541</v>
      </c>
      <c r="B133" s="8" t="s">
        <v>542</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5" x14ac:dyDescent="0.25">
      <c r="A134" s="6" t="s">
        <v>544</v>
      </c>
      <c r="B134" s="6" t="s">
        <v>545</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25" x14ac:dyDescent="0.25">
      <c r="A135" s="8" t="s">
        <v>547</v>
      </c>
      <c r="B135" s="8" t="s">
        <v>549</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5" x14ac:dyDescent="0.25">
      <c r="A136" s="6" t="s">
        <v>551</v>
      </c>
      <c r="B136" s="6" t="s">
        <v>552</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25" x14ac:dyDescent="0.25">
      <c r="A137" s="8" t="s">
        <v>554</v>
      </c>
      <c r="B137" s="8" t="s">
        <v>556</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25" x14ac:dyDescent="0.25">
      <c r="A138" s="6" t="s">
        <v>558</v>
      </c>
      <c r="B138" s="6" t="s">
        <v>559</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5" x14ac:dyDescent="0.25">
      <c r="A139" s="8" t="s">
        <v>561</v>
      </c>
      <c r="B139" s="8" t="s">
        <v>562</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5" x14ac:dyDescent="0.25">
      <c r="A140" s="6" t="s">
        <v>564</v>
      </c>
      <c r="B140" s="6" t="s">
        <v>565</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37.5" x14ac:dyDescent="0.25">
      <c r="A141" s="8" t="s">
        <v>567</v>
      </c>
      <c r="B141" s="8" t="s">
        <v>568</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5" x14ac:dyDescent="0.25">
      <c r="A142" s="6" t="s">
        <v>570</v>
      </c>
      <c r="B142" s="6" t="s">
        <v>571</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25" x14ac:dyDescent="0.25">
      <c r="A143" s="8" t="s">
        <v>574</v>
      </c>
      <c r="B143" s="8" t="s">
        <v>575</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5" x14ac:dyDescent="0.25">
      <c r="A144" s="6" t="s">
        <v>577</v>
      </c>
      <c r="B144" s="6" t="s">
        <v>578</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25" x14ac:dyDescent="0.25">
      <c r="A145" s="8" t="s">
        <v>580</v>
      </c>
      <c r="B145" s="8" t="s">
        <v>582</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5" x14ac:dyDescent="0.25">
      <c r="A146" s="6" t="s">
        <v>584</v>
      </c>
      <c r="B146" s="6" t="s">
        <v>585</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25" x14ac:dyDescent="0.25">
      <c r="A147" s="8" t="s">
        <v>587</v>
      </c>
      <c r="B147" s="8" t="s">
        <v>588</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37.5" x14ac:dyDescent="0.25">
      <c r="A148" s="6" t="s">
        <v>590</v>
      </c>
      <c r="B148" s="6" t="s">
        <v>591</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25" x14ac:dyDescent="0.25">
      <c r="A149" s="8" t="s">
        <v>593</v>
      </c>
      <c r="B149" s="8" t="s">
        <v>595</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5" x14ac:dyDescent="0.25">
      <c r="A150" s="6" t="s">
        <v>597</v>
      </c>
      <c r="B150" s="6" t="s">
        <v>598</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25" x14ac:dyDescent="0.25">
      <c r="A151" s="8" t="s">
        <v>600</v>
      </c>
      <c r="B151" s="8" t="s">
        <v>601</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5" x14ac:dyDescent="0.25">
      <c r="A152" s="6" t="s">
        <v>603</v>
      </c>
      <c r="B152" s="6" t="s">
        <v>604</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25" x14ac:dyDescent="0.25">
      <c r="A153" s="8" t="s">
        <v>606</v>
      </c>
      <c r="B153" s="8" t="s">
        <v>608</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25" x14ac:dyDescent="0.25">
      <c r="A154" s="15" t="s">
        <v>610</v>
      </c>
      <c r="B154" s="6" t="s">
        <v>611</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25" x14ac:dyDescent="0.25">
      <c r="A155" s="14"/>
      <c r="B155" s="8" t="s">
        <v>615</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5" x14ac:dyDescent="0.25">
      <c r="A156" s="6" t="s">
        <v>617</v>
      </c>
      <c r="B156" s="6" t="s">
        <v>618</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5" x14ac:dyDescent="0.25">
      <c r="A157" s="8" t="s">
        <v>620</v>
      </c>
      <c r="B157" s="8" t="s">
        <v>621</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25" x14ac:dyDescent="0.25">
      <c r="A158" s="6" t="s">
        <v>623</v>
      </c>
      <c r="B158" s="6" t="s">
        <v>624</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25" x14ac:dyDescent="0.25">
      <c r="A159" s="8" t="s">
        <v>626</v>
      </c>
      <c r="B159" s="8" t="s">
        <v>627</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5" x14ac:dyDescent="0.25">
      <c r="A160" s="6" t="s">
        <v>629</v>
      </c>
      <c r="B160" s="6" t="s">
        <v>631</v>
      </c>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50" x14ac:dyDescent="0.25">
      <c r="A161" s="8" t="s">
        <v>633</v>
      </c>
      <c r="B161" s="8" t="s">
        <v>634</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25" x14ac:dyDescent="0.25">
      <c r="A162" s="6" t="s">
        <v>636</v>
      </c>
      <c r="B162" s="6" t="s">
        <v>637</v>
      </c>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37.5" x14ac:dyDescent="0.25">
      <c r="A163" s="8" t="s">
        <v>639</v>
      </c>
      <c r="B163" s="8" t="s">
        <v>640</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25" x14ac:dyDescent="0.25">
      <c r="A164" s="6" t="s">
        <v>642</v>
      </c>
      <c r="B164" s="6" t="s">
        <v>643</v>
      </c>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5" x14ac:dyDescent="0.25">
      <c r="A165" s="8" t="s">
        <v>646</v>
      </c>
      <c r="B165" s="8" t="s">
        <v>647</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5" x14ac:dyDescent="0.25">
      <c r="A166" s="6" t="s">
        <v>649</v>
      </c>
      <c r="B166" s="6" t="s">
        <v>650</v>
      </c>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25" x14ac:dyDescent="0.25">
      <c r="A167" s="8" t="s">
        <v>652</v>
      </c>
      <c r="B167" s="8" t="s">
        <v>653</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5" x14ac:dyDescent="0.25">
      <c r="A168" s="6" t="s">
        <v>655</v>
      </c>
      <c r="B168" s="6" t="s">
        <v>656</v>
      </c>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25" x14ac:dyDescent="0.25">
      <c r="A169" s="13" t="s">
        <v>659</v>
      </c>
      <c r="B169" s="8" t="s">
        <v>660</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5" x14ac:dyDescent="0.25">
      <c r="A170" s="14"/>
      <c r="B170" s="6" t="s">
        <v>662</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0" customHeight="1" x14ac:dyDescent="0.25">
      <c r="A171" s="14"/>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5"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2.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5"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2.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5"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2.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5"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2.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5"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2.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5"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2.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5"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2.5" x14ac:dyDescent="0.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2.5"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2.5" x14ac:dyDescent="0.2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2.5"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2.5" x14ac:dyDescent="0.2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2.5"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2.5" x14ac:dyDescent="0.2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2.5"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2.5" x14ac:dyDescent="0.2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2.5"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2.5" x14ac:dyDescent="0.2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2.5" x14ac:dyDescent="0.2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2.5" x14ac:dyDescent="0.2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2.5" x14ac:dyDescent="0.2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2.5" x14ac:dyDescent="0.2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ht="12.5" x14ac:dyDescent="0.25">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2.5" x14ac:dyDescent="0.2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ht="12.5" x14ac:dyDescent="0.25">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2.5" x14ac:dyDescent="0.25">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ht="12.5" x14ac:dyDescent="0.25">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2.5" x14ac:dyDescent="0.25">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ht="12.5" x14ac:dyDescent="0.25">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2.5" x14ac:dyDescent="0.25">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spans="1:26" ht="12.5" x14ac:dyDescent="0.25">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2.5" x14ac:dyDescent="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spans="1:26" ht="12.5" x14ac:dyDescent="0.25">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2.5" x14ac:dyDescent="0.25">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spans="1:26" ht="12.5" x14ac:dyDescent="0.25">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2.5" x14ac:dyDescent="0.25">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spans="1:26" ht="12.5" x14ac:dyDescent="0.25">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spans="1:26" ht="12.5" x14ac:dyDescent="0.25">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spans="1:26" ht="12.5" x14ac:dyDescent="0.25">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spans="1:26" ht="12.5" x14ac:dyDescent="0.25">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spans="1:26" ht="12.5" x14ac:dyDescent="0.25">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spans="1:26" ht="12.5" x14ac:dyDescent="0.2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spans="1:26" ht="12.5" x14ac:dyDescent="0.25">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spans="1:26" ht="12.5" x14ac:dyDescent="0.25">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spans="1:26" ht="12.5" x14ac:dyDescent="0.25">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spans="1:26" ht="12.5" x14ac:dyDescent="0.2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spans="1:26" ht="12.5" x14ac:dyDescent="0.25">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spans="1:26" ht="12.5" x14ac:dyDescent="0.25">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spans="1:26" ht="12.5" x14ac:dyDescent="0.25">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row>
    <row r="1043" spans="1:26" ht="12.5" x14ac:dyDescent="0.25">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spans="1:26" ht="12.5" x14ac:dyDescent="0.25">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row>
    <row r="1045" spans="1:26" ht="12.5" x14ac:dyDescent="0.2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spans="1:26" ht="12.5" x14ac:dyDescent="0.25">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row>
    <row r="1047" spans="1:26" ht="12.5" x14ac:dyDescent="0.25">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spans="1:26" ht="12.5" x14ac:dyDescent="0.25">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row>
    <row r="1049" spans="1:26" ht="12.5" x14ac:dyDescent="0.25">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spans="1:26" ht="12.5" x14ac:dyDescent="0.25">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row>
  </sheetData>
  <mergeCells count="6">
    <mergeCell ref="A169:A171"/>
    <mergeCell ref="A17:A18"/>
    <mergeCell ref="B17:B18"/>
    <mergeCell ref="A48:A51"/>
    <mergeCell ref="A70:A71"/>
    <mergeCell ref="A154:A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Words</vt:lpstr>
      <vt:lpstr>Quant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Anadi Kulkarni</cp:lastModifiedBy>
  <dcterms:modified xsi:type="dcterms:W3CDTF">2026-09-17T06:58:49Z</dcterms:modified>
</cp:coreProperties>
</file>